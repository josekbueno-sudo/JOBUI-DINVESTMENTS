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bcbc9df91941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61116a39c3946cb"/>
    <x:sheet xmlns:r="http://schemas.openxmlformats.org/officeDocument/2006/relationships" name="Screener_I+D" sheetId="2" r:id="Rf1d15f5052c24ab3"/>
    <x:sheet xmlns:r="http://schemas.openxmlformats.org/officeDocument/2006/relationships" name="Parametros" sheetId="3" r:id="R68a81a0f0d80410d"/>
    <x:sheet xmlns:r="http://schemas.openxmlformats.org/officeDocument/2006/relationships" name="Instrucciones" sheetId="4" r:id="R1840d165519e4b88"/>
    <x:sheet xmlns:r="http://schemas.openxmlformats.org/officeDocument/2006/relationships" name="Fuentes" sheetId="5" r:id="Rb9d3e4e94a9444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1"/>
      <x:color rgb="FFFFFF"/>
      <x:name val="Carlito"/>
    </x:font>
    <x:font>
      <x:b/>
      <x:sz val="20"/>
      <x:color rgb="0B1F3A"/>
      <x:name val="Carlito"/>
    </x:font>
    <x:font>
      <x:i/>
      <x:sz val="11"/>
      <x:color rgb="4B5563"/>
      <x:name val="Carlito"/>
    </x:font>
    <x:font>
      <x:b/>
      <x:sz val="18"/>
      <x:color rgb="0B1F3A"/>
      <x:name val="Carlito"/>
    </x:font>
    <x:font>
      <x:b/>
      <x:sz val="16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B1F3A"/>
      </x:patternFill>
    </x:fill>
    <x:fill>
      <x:patternFill patternType="solid">
        <x:fgColor rgb="EAF2FF"/>
      </x:patternFill>
    </x:fill>
    <x:fill>
      <x:patternFill patternType="solid">
        <x:fgColor rgb="F8FAFC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73aab652140d5" /><Relationship Type="http://schemas.openxmlformats.org/officeDocument/2006/relationships/theme" Target="/xl/theme/theme1.xml" Id="R1e52d3c160634105" /><Relationship Type="http://schemas.openxmlformats.org/officeDocument/2006/relationships/sharedStrings" Target="/xl/sharedStrings.xml" Id="Ra22870e5024b484e" /><Relationship Type="http://schemas.openxmlformats.org/officeDocument/2006/relationships/worksheet" Target="/xl/worksheets/sheet1.xml" Id="Rd61116a39c3946cb" /><Relationship Type="http://schemas.openxmlformats.org/officeDocument/2006/relationships/worksheet" Target="/xl/worksheets/sheet2.xml" Id="Rf1d15f5052c24ab3" /><Relationship Type="http://schemas.openxmlformats.org/officeDocument/2006/relationships/worksheet" Target="/xl/worksheets/sheet3.xml" Id="R68a81a0f0d80410d" /><Relationship Type="http://schemas.openxmlformats.org/officeDocument/2006/relationships/worksheet" Target="/xl/worksheets/sheet4.xml" Id="R1840d165519e4b88" /><Relationship Type="http://schemas.openxmlformats.org/officeDocument/2006/relationships/worksheet" Target="/xl/worksheets/sheet5.xml" Id="Rb9d3e4e94a9444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f380008c934d5f" /><Relationship Type="http://schemas.openxmlformats.org/officeDocument/2006/relationships/chart" Target="/xl/drawings/charts/chart2.xml" Id="Rb497455993f243e1" /><Relationship Type="http://schemas.openxmlformats.org/officeDocument/2006/relationships/chart" Target="/xl/drawings/charts/chart3.xml" Id="Rd4e1fbabb9984ff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Score medio</c:v>
          </c:tx>
          <c:cat>
            <c:strRef>
              <c:f>'Dashboard'!$A$9:$A$15</c:f>
              <c:strCache>
                <c:ptCount val="0"/>
              </c:strCache>
            </c:strRef>
          </c:cat>
          <c:val>
            <c:numRef>
              <c:f>'Dashboard'!$B$9:$B$15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doughnutChart>
        <c:ser>
          <c:idx val="0"/>
          <c:order val="0"/>
          <c:tx>
            <c:v>Peso</c:v>
          </c:tx>
          <c:cat>
            <c:strRef>
              <c:f>'Dashboard'!$D$9:$D$15</c:f>
              <c:strCache>
                <c:ptCount val="0"/>
              </c:strCache>
            </c:strRef>
          </c:cat>
          <c:val>
            <c:numRef>
              <c:f>'Dashboard'!$E$9:$E$15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Nº empresas</c:v>
          </c:tx>
          <c:cat>
            <c:strRef>
              <c:f>'Dashboard'!$G$9:$G$12</c:f>
              <c:strCache>
                <c:ptCount val="0"/>
              </c:strCache>
            </c:strRef>
          </c:cat>
          <c:val>
            <c:numRef>
              <c:f>'Dashboard'!$H$9:$H$12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f380008c934d5f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97455993f243e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9</xdr:col>
      <xdr:colOff>0</xdr:colOff>
      <xdr:row>27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e1fbabb9984ff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ScreenerID" displayName="TablaScreenerID" ref="A1:R43" headerRowCount="1">
  <x:tableColumns count="18">
    <x:tableColumn id="1" name="Ticker"/>
    <x:tableColumn id="2" name="Empresa"/>
    <x:tableColumn id="3" name="Sector"/>
    <x:tableColumn id="4" name="Proyecto I+D"/>
    <x:tableColumn id="5" name="Fase"/>
    <x:tableColumn id="6" name="Tecnología"/>
    <x:tableColumn id="7" name="Catalizadores"/>
    <x:tableColumn id="8" name="Caja"/>
    <x:tableColumn id="9" name="Mercado"/>
    <x:tableColumn id="10" name="Validación"/>
    <x:tableColumn id="11" name="Control Dilución"/>
    <x:tableColumn id="12" name="Momentum"/>
    <x:tableColumn id="13" name="Score"/>
    <x:tableColumn id="14" name="Clasificación"/>
    <x:tableColumn id="15" name="Catalizador próximo"/>
    <x:tableColumn id="16" name="Riesgo principal"/>
    <x:tableColumn id="17" name="Fuente URL"/>
    <x:tableColumn id="18" name="Última revis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f27b2feb2e46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6441b0b01b49d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28" hidden="0" customWidth="1"/>
    <x:col min="5" max="5" width="14" hidden="0" customWidth="1"/>
    <x:col min="6" max="6" width="20" hidden="0" customWidth="1"/>
    <x:col min="7" max="7" width="26" hidden="0" customWidth="1"/>
    <x:col min="8" max="8" width="16" hidden="0" customWidth="1"/>
  </x:cols>
  <x:sheetData>
    <x:row r="1" ht="30" customHeight="1">
      <x:c r="A1" s="13" t="str">
        <x:v>BUSCADOR I+D FUTURO — DASHBOARD JOBU</x:v>
      </x:c>
    </x:row>
    <x:row r="2">
      <x:c r="A2" s="19" t="str">
        <x:v>Screener automático de empresas con proyectos de I+D prometedores. Actualiza las notas del Screener_I+D y el ranking se recalcula.</x:v>
      </x:c>
    </x:row>
    <x:row r="4">
      <x:c r="A4" s="44" t="str">
        <x:v>Score medio</x:v>
      </x:c>
      <x:c r="B4" s="44" t="str">
        <x:v>Candidatas ≥65</x:v>
      </x:c>
      <x:c r="C4" s="44" t="str">
        <x:v>Top score</x:v>
      </x:c>
      <x:c r="D4" s="44" t="str">
        <x:v>Riesgo alto (&lt;50 control dilución)</x:v>
      </x:c>
    </x:row>
    <x:row r="5">
      <x:c r="A5" s="45" t="n">
        <x:f>ROUND(AVERAGE('Screener_I+D'!M2:M43),0)</x:f>
        <x:v>70</x:v>
      </x:c>
      <x:c r="B5" s="45" t="n">
        <x:f>COUNTIF('Screener_I+D'!M2:M43,"&gt;=65")</x:f>
        <x:v>32</x:v>
      </x:c>
      <x:c r="C5" s="45" t="n">
        <x:f>MAX('Screener_I+D'!M2:M43)</x:f>
        <x:v>86</x:v>
      </x:c>
      <x:c r="D5" s="45" t="n">
        <x:f>COUNTIF('Screener_I+D'!K2:K43,"&lt;50")</x:f>
        <x:v>17</x:v>
      </x:c>
    </x:row>
    <x:row r="8">
      <x:c r="A8" s="4" t="str">
        <x:v>Sector agrupado</x:v>
      </x:c>
      <x:c r="B8" s="4" t="str">
        <x:v>Score medio</x:v>
      </x:c>
      <x:c r="D8" s="4" t="str">
        <x:v>Métrica</x:v>
      </x:c>
      <x:c r="E8" s="4" t="str">
        <x:v>Peso</x:v>
      </x:c>
      <x:c r="G8" s="4" t="str">
        <x:v>Clasificación</x:v>
      </x:c>
      <x:c r="H8" s="4" t="str">
        <x:v>Nº empresas</x:v>
      </x:c>
    </x:row>
    <x:row r="9">
      <x:c r="A9" s="34" t="str">
        <x:v>Biotech/Genómica</x:v>
      </x:c>
      <x:c r="B9" s="34" t="n">
        <x:v>68.2</x:v>
      </x:c>
      <x:c r="D9" s="34" t="str">
        <x:v>Tecnología</x:v>
      </x:c>
      <x:c r="E9" s="34" t="n">
        <x:v>0.25</x:v>
      </x:c>
      <x:c r="G9" s="34" t="str">
        <x:v>I+D muy prometedor</x:v>
      </x:c>
      <x:c r="H9" s="34" t="n">
        <x:f>COUNTIF('Screener_I+D'!N2:N43,G9)</x:f>
        <x:v>4</x:v>
      </x:c>
    </x:row>
    <x:row r="10">
      <x:c r="A10" s="34" t="str">
        <x:v>IA Salud</x:v>
      </x:c>
      <x:c r="B10" s="34" t="n">
        <x:v>69.7</x:v>
      </x:c>
      <x:c r="D10" s="34" t="str">
        <x:v>Catalizadores</x:v>
      </x:c>
      <x:c r="E10" s="34" t="n">
        <x:v>0.2</x:v>
      </x:c>
      <x:c r="G10" s="34" t="str">
        <x:v>Candidata interesante</x:v>
      </x:c>
      <x:c r="H10" s="34" t="n">
        <x:f>COUNTIF('Screener_I+D'!N2:N43,G10)</x:f>
        <x:v>28</x:v>
      </x:c>
    </x:row>
    <x:row r="11">
      <x:c r="A11" s="34" t="str">
        <x:v>Cuántica</x:v>
      </x:c>
      <x:c r="B11" s="34" t="n">
        <x:v>74.6</x:v>
      </x:c>
      <x:c r="D11" s="34" t="str">
        <x:v>Caja</x:v>
      </x:c>
      <x:c r="E11" s="34" t="n">
        <x:v>0.2</x:v>
      </x:c>
      <x:c r="G11" s="34" t="str">
        <x:v>Vigilar</x:v>
      </x:c>
      <x:c r="H11" s="34" t="n">
        <x:f>COUNTIF('Screener_I+D'!N2:N43,G11)</x:f>
        <x:v>10</x:v>
      </x:c>
    </x:row>
    <x:row r="12">
      <x:c r="A12" s="34" t="str">
        <x:v>Semiconductores</x:v>
      </x:c>
      <x:c r="B12" s="34" t="n">
        <x:v>69.8</x:v>
      </x:c>
      <x:c r="D12" s="34" t="str">
        <x:v>Mercado</x:v>
      </x:c>
      <x:c r="E12" s="34" t="n">
        <x:v>0.15</x:v>
      </x:c>
      <x:c r="G12" s="34" t="str">
        <x:v>Descartar</x:v>
      </x:c>
      <x:c r="H12" s="34" t="n">
        <x:f>COUNTIF('Screener_I+D'!N2:N43,G12)</x:f>
        <x:v>0</x:v>
      </x:c>
    </x:row>
    <x:row r="13">
      <x:c r="A13" s="34" t="str">
        <x:v>Baterías/Energía</x:v>
      </x:c>
      <x:c r="B13" s="34" t="n">
        <x:v>68.3</x:v>
      </x:c>
      <x:c r="D13" s="34" t="str">
        <x:v>Validación</x:v>
      </x:c>
      <x:c r="E13" s="34" t="n">
        <x:v>0.1</x:v>
      </x:c>
    </x:row>
    <x:row r="14">
      <x:c r="A14" s="34" t="str">
        <x:v>Espacio/Defensa</x:v>
      </x:c>
      <x:c r="B14" s="34" t="n">
        <x:v>72.8</x:v>
      </x:c>
      <x:c r="D14" s="34" t="str">
        <x:v>Control Dilución</x:v>
      </x:c>
      <x:c r="E14" s="34" t="n">
        <x:v>0.05</x:v>
      </x:c>
    </x:row>
    <x:row r="15">
      <x:c r="A15" s="34" t="str">
        <x:v>Robótica/Automatización</x:v>
      </x:c>
      <x:c r="B15" s="34" t="n">
        <x:v>71</x:v>
      </x:c>
      <x:c r="D15" s="34" t="str">
        <x:v>Momentum</x:v>
      </x:c>
      <x:c r="E15" s="34" t="n">
        <x:v>0.05</x:v>
      </x:c>
    </x:row>
    <x:row r="18" ht="22" customHeight="1">
      <x:c r="A18" s="48" t="str">
        <x:v>Ticker</x:v>
      </x:c>
      <x:c r="B18" s="48" t="str">
        <x:v>Empresa</x:v>
      </x:c>
      <x:c r="C18" s="48" t="str">
        <x:v>Sector</x:v>
      </x:c>
      <x:c r="D18" s="48" t="str">
        <x:v>Score</x:v>
      </x:c>
      <x:c r="E18" s="48" t="str">
        <x:v>Fase</x:v>
      </x:c>
      <x:c r="F18" s="48" t="str">
        <x:v>Estado</x:v>
      </x:c>
    </x:row>
    <x:row r="19" ht="18" customHeight="1">
      <x:c r="A19" s="49" t="str">
        <x:v>IONQ</x:v>
      </x:c>
      <x:c r="B19" s="49" t="str">
        <x:v>IonQ</x:v>
      </x:c>
      <x:c r="C19" s="49" t="str">
        <x:v>Cuántica</x:v>
      </x:c>
      <x:c r="D19" s="49" t="n">
        <x:v>86</x:v>
      </x:c>
      <x:c r="E19" s="49" t="str">
        <x:v>Comercial inicial</x:v>
      </x:c>
      <x:c r="F19" s="49" t="str">
        <x:v>I+D muy prometedor</x:v>
      </x:c>
    </x:row>
    <x:row r="20" ht="18" customHeight="1">
      <x:c r="A20" s="49" t="str">
        <x:v>IBM</x:v>
      </x:c>
      <x:c r="B20" s="49" t="str">
        <x:v>IBM</x:v>
      </x:c>
      <x:c r="C20" s="49" t="str">
        <x:v>Cuántica/IA</x:v>
      </x:c>
      <x:c r="D20" s="49" t="n">
        <x:v>82</x:v>
      </x:c>
      <x:c r="E20" s="49" t="str">
        <x:v>Comercial</x:v>
      </x:c>
      <x:c r="F20" s="49" t="str">
        <x:v>I+D muy prometedor</x:v>
      </x:c>
    </x:row>
    <x:row r="21" ht="18" customHeight="1">
      <x:c r="A21" s="49" t="str">
        <x:v>PLTR</x:v>
      </x:c>
      <x:c r="B21" s="49" t="str">
        <x:v>Palantir</x:v>
      </x:c>
      <x:c r="C21" s="49" t="str">
        <x:v>IA/Defensa</x:v>
      </x:c>
      <x:c r="D21" s="49" t="n">
        <x:v>82</x:v>
      </x:c>
      <x:c r="E21" s="49" t="str">
        <x:v>Comercial</x:v>
      </x:c>
      <x:c r="F21" s="49" t="str">
        <x:v>I+D muy prometedor</x:v>
      </x:c>
    </x:row>
    <x:row r="22" ht="18" customHeight="1">
      <x:c r="A22" s="49" t="str">
        <x:v>CRSP</x:v>
      </x:c>
      <x:c r="B22" s="49" t="str">
        <x:v>CRISPR Therapeutics</x:v>
      </x:c>
      <x:c r="C22" s="49" t="str">
        <x:v>Genómica</x:v>
      </x:c>
      <x:c r="D22" s="49" t="n">
        <x:v>81</x:v>
      </x:c>
      <x:c r="E22" s="49" t="str">
        <x:v>Comercial/Clínica</x:v>
      </x:c>
      <x:c r="F22" s="49" t="str">
        <x:v>I+D muy prometedor</x:v>
      </x:c>
    </x:row>
    <x:row r="23" ht="18" customHeight="1">
      <x:c r="A23" s="49" t="str">
        <x:v>QS</x:v>
      </x:c>
      <x:c r="B23" s="49" t="str">
        <x:v>QuantumScape</x:v>
      </x:c>
      <x:c r="C23" s="49" t="str">
        <x:v>Baterías</x:v>
      </x:c>
      <x:c r="D23" s="49" t="n">
        <x:v>78</x:v>
      </x:c>
      <x:c r="E23" s="49" t="str">
        <x:v>Pilot/comercialización inicial</x:v>
      </x:c>
      <x:c r="F23" s="49" t="str">
        <x:v>Candidata interesante</x:v>
      </x:c>
    </x:row>
    <x:row r="24" ht="18" customHeight="1">
      <x:c r="A24" s="49" t="str">
        <x:v>QBTS</x:v>
      </x:c>
      <x:c r="B24" s="49" t="str">
        <x:v>D-Wave Quantum</x:v>
      </x:c>
      <x:c r="C24" s="49" t="str">
        <x:v>Cuántica</x:v>
      </x:c>
      <x:c r="D24" s="49" t="n">
        <x:v>77</x:v>
      </x:c>
      <x:c r="E24" s="49" t="str">
        <x:v>Comercial inicial</x:v>
      </x:c>
      <x:c r="F24" s="49" t="str">
        <x:v>Candidata interesante</x:v>
      </x:c>
    </x:row>
    <x:row r="25" ht="18" customHeight="1">
      <x:c r="A25" s="49" t="str">
        <x:v>NTLA</x:v>
      </x:c>
      <x:c r="B25" s="49" t="str">
        <x:v>Intellia Therapeutics</x:v>
      </x:c>
      <x:c r="C25" s="49" t="str">
        <x:v>Genómica</x:v>
      </x:c>
      <x:c r="D25" s="49" t="n">
        <x:v>76</x:v>
      </x:c>
      <x:c r="E25" s="49" t="str">
        <x:v>Clínica</x:v>
      </x:c>
      <x:c r="F25" s="49" t="str">
        <x:v>Candidata interesante</x:v>
      </x:c>
    </x:row>
    <x:row r="26" ht="18" customHeight="1">
      <x:c r="A26" s="49" t="str">
        <x:v>RXRX</x:v>
      </x:c>
      <x:c r="B26" s="49" t="str">
        <x:v>Recursion Pharmaceuticals</x:v>
      </x:c>
      <x:c r="C26" s="49" t="str">
        <x:v>IA Salud</x:v>
      </x:c>
      <x:c r="D26" s="49" t="n">
        <x:v>76</x:v>
      </x:c>
      <x:c r="E26" s="49" t="str">
        <x:v>Clínica/Plataforma</x:v>
      </x:c>
      <x:c r="F26" s="49" t="str">
        <x:v>Candidata interesante</x:v>
      </x:c>
    </x:row>
    <x:row r="27" ht="18" customHeight="1">
      <x:c r="A27" s="49" t="str">
        <x:v>BEAM</x:v>
      </x:c>
      <x:c r="B27" s="49" t="str">
        <x:v>Beam Therapeutics</x:v>
      </x:c>
      <x:c r="C27" s="49" t="str">
        <x:v>Genómica</x:v>
      </x:c>
      <x:c r="D27" s="49" t="n">
        <x:v>74</x:v>
      </x:c>
      <x:c r="E27" s="49" t="str">
        <x:v>Clínica</x:v>
      </x:c>
      <x:c r="F27" s="49" t="str">
        <x:v>Candidata interesante</x:v>
      </x:c>
    </x:row>
    <x:row r="28" ht="18" customHeight="1">
      <x:c r="A28" s="49" t="str">
        <x:v>SLDP</x:v>
      </x:c>
      <x:c r="B28" s="49" t="str">
        <x:v>Solid Power</x:v>
      </x:c>
      <x:c r="C28" s="49" t="str">
        <x:v>Baterías</x:v>
      </x:c>
      <x:c r="D28" s="49" t="n">
        <x:v>74</x:v>
      </x:c>
      <x:c r="E28" s="49" t="str">
        <x:v>Pilot/desarrollo</x:v>
      </x:c>
      <x:c r="F28" s="49" t="str">
        <x:v>Candidata interesante</x:v>
      </x:c>
    </x:row>
    <x:row r="29" ht="18" customHeight="1">
      <x:c r="A29" s="49" t="str">
        <x:v>AVAV</x:v>
      </x:c>
      <x:c r="B29" s="49" t="str">
        <x:v>AeroVironment</x:v>
      </x:c>
      <x:c r="C29" s="49" t="str">
        <x:v>Defensa/Robótica</x:v>
      </x:c>
      <x:c r="D29" s="49" t="n">
        <x:v>74</x:v>
      </x:c>
      <x:c r="E29" s="49" t="str">
        <x:v>Comercial</x:v>
      </x:c>
      <x:c r="F29" s="49" t="str">
        <x:v>Candidata interesante</x:v>
      </x:c>
    </x:row>
    <x:row r="30" ht="18" customHeight="1">
      <x:c r="A30" s="49" t="str">
        <x:v>JOBY</x:v>
      </x:c>
      <x:c r="B30" s="49" t="str">
        <x:v>Joby Aviation</x:v>
      </x:c>
      <x:c r="C30" s="49" t="str">
        <x:v>eVTOL</x:v>
      </x:c>
      <x:c r="D30" s="49" t="n">
        <x:v>74</x:v>
      </x:c>
      <x:c r="E30" s="49" t="str">
        <x:v>Certificación/despliegue</x:v>
      </x:c>
      <x:c r="F30" s="49" t="str">
        <x:v>Candidata interesante</x:v>
      </x:c>
    </x:row>
    <x:row r="31" ht="18" customHeight="1">
      <x:c r="A31" s="49" t="str">
        <x:v>TMDX</x:v>
      </x:c>
      <x:c r="B31" s="49" t="str">
        <x:v>TransMedics</x:v>
      </x:c>
      <x:c r="C31" s="49" t="str">
        <x:v>Medtech</x:v>
      </x:c>
      <x:c r="D31" s="49" t="n">
        <x:v>73</x:v>
      </x:c>
      <x:c r="E31" s="49" t="str">
        <x:v>Comercial</x:v>
      </x:c>
      <x:c r="F31" s="49" t="str">
        <x:v>Candidata interesante</x:v>
      </x:c>
    </x:row>
    <x:row r="32" ht="18" customHeight="1">
      <x:c r="A32" s="49" t="str">
        <x:v>GFS</x:v>
      </x:c>
      <x:c r="B32" s="49" t="str">
        <x:v>GlobalFoundries</x:v>
      </x:c>
      <x:c r="C32" s="49" t="str">
        <x:v>Semiconductores</x:v>
      </x:c>
      <x:c r="D32" s="49" t="n">
        <x:v>73</x:v>
      </x:c>
      <x:c r="E32" s="49" t="str">
        <x:v>Comercial</x:v>
      </x:c>
      <x:c r="F32" s="49" t="str">
        <x:v>Candidata interesante</x:v>
      </x:c>
    </x:row>
    <x:row r="33" ht="18" customHeight="1">
      <x:c r="A33" s="49" t="str">
        <x:v>RKLB</x:v>
      </x:c>
      <x:c r="B33" s="49" t="str">
        <x:v>Rocket Lab</x:v>
      </x:c>
      <x:c r="C33" s="49" t="str">
        <x:v>Espacio/Defensa</x:v>
      </x:c>
      <x:c r="D33" s="49" t="n">
        <x:v>73</x:v>
      </x:c>
      <x:c r="E33" s="49" t="str">
        <x:v>Comercial</x:v>
      </x:c>
      <x:c r="F33" s="49" t="str">
        <x:v>Candidata interesante</x:v>
      </x:c>
    </x:row>
    <x:row r="40">
      <x:c r="L40"/>
    </x:row>
  </x:sheetData>
  <x:mergeCells>
    <x:mergeCell ref="A1:L1"/>
    <x:mergeCell ref="A2:L2"/>
  </x:mergeCells>
  <x:conditionalFormatting sqref="D19:D3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drawing xmlns:r="http://schemas.openxmlformats.org/officeDocument/2006/relationships" r:id="R58f27b2feb2e46b2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0" hidden="0" customWidth="1"/>
    <x:col min="4" max="4" width="45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4" hidden="0" customWidth="1"/>
    <x:col min="15" max="15" width="36" hidden="0" customWidth="1"/>
    <x:col min="16" max="16" width="36" hidden="0" customWidth="1"/>
    <x:col min="17" max="17" width="50" hidden="0" customWidth="1"/>
    <x:col min="18" max="18" width="14" hidden="0" customWidth="1"/>
  </x:cols>
  <x:sheetData>
    <x:row r="1">
      <x:c r="A1" s="27" t="str">
        <x:v>Ticker</x:v>
      </x:c>
      <x:c r="B1" s="27" t="str">
        <x:v>Empresa</x:v>
      </x:c>
      <x:c r="C1" s="27" t="str">
        <x:v>Sector</x:v>
      </x:c>
      <x:c r="D1" s="27" t="str">
        <x:v>Proyecto I+D</x:v>
      </x:c>
      <x:c r="E1" s="27" t="str">
        <x:v>Fase</x:v>
      </x:c>
      <x:c r="F1" s="27" t="str">
        <x:v>Tecnología</x:v>
      </x:c>
      <x:c r="G1" s="27" t="str">
        <x:v>Catalizadores</x:v>
      </x:c>
      <x:c r="H1" s="27" t="str">
        <x:v>Caja</x:v>
      </x:c>
      <x:c r="I1" s="27" t="str">
        <x:v>Mercado</x:v>
      </x:c>
      <x:c r="J1" s="27" t="str">
        <x:v>Validación</x:v>
      </x:c>
      <x:c r="K1" s="27" t="str">
        <x:v>Control Dilución</x:v>
      </x:c>
      <x:c r="L1" s="27" t="str">
        <x:v>Momentum</x:v>
      </x:c>
      <x:c r="M1" s="27" t="str">
        <x:v>Score</x:v>
      </x:c>
      <x:c r="N1" s="27" t="str">
        <x:v>Clasificación</x:v>
      </x:c>
      <x:c r="O1" s="27" t="str">
        <x:v>Catalizador próximo</x:v>
      </x:c>
      <x:c r="P1" s="27" t="str">
        <x:v>Riesgo principal</x:v>
      </x:c>
      <x:c r="Q1" s="27" t="str">
        <x:v>Fuente URL</x:v>
      </x:c>
      <x:c r="R1" s="27" t="str">
        <x:v>Última revisión</x:v>
      </x:c>
    </x:row>
    <x:row r="2">
      <x:c r="A2" t="str">
        <x:v>CRSP</x:v>
      </x:c>
      <x:c r="B2" t="str">
        <x:v>CRISPR Therapeutics</x:v>
      </x:c>
      <x:c r="C2" t="str">
        <x:v>Genómica</x:v>
      </x:c>
      <x:c r="D2" t="str">
        <x:v>Terapias génicas CRISPR y pipeline post-Casgevy</x:v>
      </x:c>
      <x:c r="E2" t="str">
        <x:v>Comercial/Clínica</x:v>
      </x:c>
      <x:c r="F2" t="n">
        <x:v>86</x:v>
      </x:c>
      <x:c r="G2" t="n">
        <x:v>78</x:v>
      </x:c>
      <x:c r="H2" t="n">
        <x:v>78</x:v>
      </x:c>
      <x:c r="I2" t="n">
        <x:v>88</x:v>
      </x:c>
      <x:c r="J2" t="n">
        <x:v>82</x:v>
      </x:c>
      <x:c r="K2" t="n">
        <x:v>70</x:v>
      </x:c>
      <x:c r="L2" t="n">
        <x:v>62</x:v>
      </x:c>
      <x:c r="M2" t="n">
        <x:f>ROUND(F2*Parametros!$B$2+G2*Parametros!$B$3+H2*Parametros!$B$4+I2*Parametros!$B$5+J2*Parametros!$B$6+K2*Parametros!$B$7+L2*Parametros!$B$8,0)</x:f>
        <x:v>81</x:v>
      </x:c>
      <x:c r="N2" s="38" t="str">
        <x:f>IF(M2&gt;=80,"I+D muy prometedor",IF(M2&gt;=65,"Candidata interesante",IF(M2&gt;=50,"Vigilar","Descartar")))</x:f>
        <x:v>I+D muy prometedor</x:v>
      </x:c>
      <x:c r="O2" t="str">
        <x:v>Nuevas indicaciones / datos clínicos</x:v>
      </x:c>
      <x:c r="P2" t="str">
        <x:v>Dependencia de pipeline y ejecución clínica</x:v>
      </x:c>
      <x:c r="Q2" t="str">
        <x:v>https://crisprtx.com/investors</x:v>
      </x:c>
      <x:c r="R2" t="str">
        <x:v>2026-05-23</x:v>
      </x:c>
    </x:row>
    <x:row r="3">
      <x:c r="A3" t="str">
        <x:v>NTLA</x:v>
      </x:c>
      <x:c r="B3" t="str">
        <x:v>Intellia Therapeutics</x:v>
      </x:c>
      <x:c r="C3" t="str">
        <x:v>Genómica</x:v>
      </x:c>
      <x:c r="D3" t="str">
        <x:v>Edición genética in vivo para enfermedades raras</x:v>
      </x:c>
      <x:c r="E3" t="str">
        <x:v>Clínica</x:v>
      </x:c>
      <x:c r="F3" t="n">
        <x:v>88</x:v>
      </x:c>
      <x:c r="G3" t="n">
        <x:v>76</x:v>
      </x:c>
      <x:c r="H3" t="n">
        <x:v>66</x:v>
      </x:c>
      <x:c r="I3" t="n">
        <x:v>84</x:v>
      </x:c>
      <x:c r="J3" t="n">
        <x:v>74</x:v>
      </x:c>
      <x:c r="K3" t="n">
        <x:v>58</x:v>
      </x:c>
      <x:c r="L3" t="n">
        <x:v>60</x:v>
      </x:c>
      <x:c r="M3" t="n">
        <x:f>ROUND(F3*Parametros!$B$2+G3*Parametros!$B$3+H3*Parametros!$B$4+I3*Parametros!$B$5+J3*Parametros!$B$6+K3*Parametros!$B$7+L3*Parametros!$B$8,0)</x:f>
        <x:v>76</x:v>
      </x:c>
      <x:c r="N3" s="38" t="str">
        <x:f>IF(M3&gt;=80,"I+D muy prometedor",IF(M3&gt;=65,"Candidata interesante",IF(M3&gt;=50,"Vigilar","Descartar")))</x:f>
        <x:v>Candidata interesante</x:v>
      </x:c>
      <x:c r="O3" t="str">
        <x:v>Datos clínicos de programas in vivo</x:v>
      </x:c>
      <x:c r="P3" t="str">
        <x:v>Riesgo clínico y necesidad de financiación</x:v>
      </x:c>
      <x:c r="Q3" t="str">
        <x:v>https://ir.intelliatx.com/</x:v>
      </x:c>
      <x:c r="R3" t="str">
        <x:v>2026-05-23</x:v>
      </x:c>
    </x:row>
    <x:row r="4">
      <x:c r="A4" t="str">
        <x:v>BEAM</x:v>
      </x:c>
      <x:c r="B4" t="str">
        <x:v>Beam Therapeutics</x:v>
      </x:c>
      <x:c r="C4" t="str">
        <x:v>Genómica</x:v>
      </x:c>
      <x:c r="D4" t="str">
        <x:v>Base editing y terapias genéticas de precisión</x:v>
      </x:c>
      <x:c r="E4" t="str">
        <x:v>Clínica</x:v>
      </x:c>
      <x:c r="F4" t="n">
        <x:v>87</x:v>
      </x:c>
      <x:c r="G4" t="n">
        <x:v>72</x:v>
      </x:c>
      <x:c r="H4" t="n">
        <x:v>64</x:v>
      </x:c>
      <x:c r="I4" t="n">
        <x:v>82</x:v>
      </x:c>
      <x:c r="J4" t="n">
        <x:v>70</x:v>
      </x:c>
      <x:c r="K4" t="n">
        <x:v>55</x:v>
      </x:c>
      <x:c r="L4" t="n">
        <x:v>56</x:v>
      </x:c>
      <x:c r="M4" t="n">
        <x:f>ROUND(F4*Parametros!$B$2+G4*Parametros!$B$3+H4*Parametros!$B$4+I4*Parametros!$B$5+J4*Parametros!$B$6+K4*Parametros!$B$7+L4*Parametros!$B$8,0)</x:f>
        <x:v>74</x:v>
      </x:c>
      <x:c r="N4" s="38" t="str">
        <x:f>IF(M4&gt;=80,"I+D muy prometedor",IF(M4&gt;=65,"Candidata interesante",IF(M4&gt;=50,"Vigilar","Descartar")))</x:f>
        <x:v>Candidata interesante</x:v>
      </x:c>
      <x:c r="O4" t="str">
        <x:v>Actualizaciones clínicas de pipeline</x:v>
      </x:c>
      <x:c r="P4" t="str">
        <x:v>Riesgo tecnológico y clínico temprano</x:v>
      </x:c>
      <x:c r="Q4" t="str">
        <x:v>https://investors.beamtx.com/</x:v>
      </x:c>
      <x:c r="R4" t="str">
        <x:v>2026-05-23</x:v>
      </x:c>
    </x:row>
    <x:row r="5">
      <x:c r="A5" t="str">
        <x:v>VERV</x:v>
      </x:c>
      <x:c r="B5" t="str">
        <x:v>Verve Therapeutics</x:v>
      </x:c>
      <x:c r="C5" t="str">
        <x:v>Genómica/Cardio</x:v>
      </x:c>
      <x:c r="D5" t="str">
        <x:v>Edición genética para enfermedades cardiovasculares</x:v>
      </x:c>
      <x:c r="E5" t="str">
        <x:v>Clínica</x:v>
      </x:c>
      <x:c r="F5" t="n">
        <x:v>82</x:v>
      </x:c>
      <x:c r="G5" t="n">
        <x:v>70</x:v>
      </x:c>
      <x:c r="H5" t="n">
        <x:v>60</x:v>
      </x:c>
      <x:c r="I5" t="n">
        <x:v>86</x:v>
      </x:c>
      <x:c r="J5" t="n">
        <x:v>68</x:v>
      </x:c>
      <x:c r="K5" t="n">
        <x:v>52</x:v>
      </x:c>
      <x:c r="L5" t="n">
        <x:v>54</x:v>
      </x:c>
      <x:c r="M5" t="n">
        <x:f>ROUND(F5*Parametros!$B$2+G5*Parametros!$B$3+H5*Parametros!$B$4+I5*Parametros!$B$5+J5*Parametros!$B$6+K5*Parametros!$B$7+L5*Parametros!$B$8,0)</x:f>
        <x:v>72</x:v>
      </x:c>
      <x:c r="N5" s="38" t="str">
        <x:f>IF(M5&gt;=80,"I+D muy prometedor",IF(M5&gt;=65,"Candidata interesante",IF(M5&gt;=50,"Vigilar","Descartar")))</x:f>
        <x:v>Candidata interesante</x:v>
      </x:c>
      <x:c r="O5" t="str">
        <x:v>Datos clínicos cardiovasculares</x:v>
      </x:c>
      <x:c r="P5" t="str">
        <x:v>Riesgo regulatorio por edición genética in vivo</x:v>
      </x:c>
      <x:c r="Q5" t="str">
        <x:v>https://investors.vervetx.com/</x:v>
      </x:c>
      <x:c r="R5" t="str">
        <x:v>2026-05-23</x:v>
      </x:c>
    </x:row>
    <x:row r="6">
      <x:c r="A6" t="str">
        <x:v>EDIT</x:v>
      </x:c>
      <x:c r="B6" t="str">
        <x:v>Editas Medicine</x:v>
      </x:c>
      <x:c r="C6" t="str">
        <x:v>Genómica</x:v>
      </x:c>
      <x:c r="D6" t="str">
        <x:v>Plataforma CRISPR y programas terapéuticos</x:v>
      </x:c>
      <x:c r="E6" t="str">
        <x:v>Clínica</x:v>
      </x:c>
      <x:c r="F6" t="n">
        <x:v>75</x:v>
      </x:c>
      <x:c r="G6" t="n">
        <x:v>58</x:v>
      </x:c>
      <x:c r="H6" t="n">
        <x:v>48</x:v>
      </x:c>
      <x:c r="I6" t="n">
        <x:v>72</x:v>
      </x:c>
      <x:c r="J6" t="n">
        <x:v>52</x:v>
      </x:c>
      <x:c r="K6" t="n">
        <x:v>42</x:v>
      </x:c>
      <x:c r="L6" t="n">
        <x:v>46</x:v>
      </x:c>
      <x:c r="M6" t="n">
        <x:f>ROUND(F6*Parametros!$B$2+G6*Parametros!$B$3+H6*Parametros!$B$4+I6*Parametros!$B$5+J6*Parametros!$B$6+K6*Parametros!$B$7+L6*Parametros!$B$8,0)</x:f>
        <x:v>60</x:v>
      </x:c>
      <x:c r="N6" s="38" t="str">
        <x:f>IF(M6&gt;=80,"I+D muy prometedor",IF(M6&gt;=65,"Candidata interesante",IF(M6&gt;=50,"Vigilar","Descartar")))</x:f>
        <x:v>Vigilar</x:v>
      </x:c>
      <x:c r="O6" t="str">
        <x:v>Reestructuración / datos de pipeline</x:v>
      </x:c>
      <x:c r="P6" t="str">
        <x:v>Dilución y cambios estratégicos</x:v>
      </x:c>
      <x:c r="Q6" t="str">
        <x:v>https://ir.editasmedicine.com/</x:v>
      </x:c>
      <x:c r="R6" t="str">
        <x:v>2026-05-23</x:v>
      </x:c>
    </x:row>
    <x:row r="7">
      <x:c r="A7" t="str">
        <x:v>PACB</x:v>
      </x:c>
      <x:c r="B7" t="str">
        <x:v>Pacific Biosciences</x:v>
      </x:c>
      <x:c r="C7" t="str">
        <x:v>Genómica</x:v>
      </x:c>
      <x:c r="D7" t="str">
        <x:v>Secuenciación avanzada de lectura larga</x:v>
      </x:c>
      <x:c r="E7" t="str">
        <x:v>Comercial</x:v>
      </x:c>
      <x:c r="F7" t="n">
        <x:v>76</x:v>
      </x:c>
      <x:c r="G7" t="n">
        <x:v>62</x:v>
      </x:c>
      <x:c r="H7" t="n">
        <x:v>50</x:v>
      </x:c>
      <x:c r="I7" t="n">
        <x:v>80</x:v>
      </x:c>
      <x:c r="J7" t="n">
        <x:v>62</x:v>
      </x:c>
      <x:c r="K7" t="n">
        <x:v>45</x:v>
      </x:c>
      <x:c r="L7" t="n">
        <x:v>48</x:v>
      </x:c>
      <x:c r="M7" t="n">
        <x:f>ROUND(F7*Parametros!$B$2+G7*Parametros!$B$3+H7*Parametros!$B$4+I7*Parametros!$B$5+J7*Parametros!$B$6+K7*Parametros!$B$7+L7*Parametros!$B$8,0)</x:f>
        <x:v>64</x:v>
      </x:c>
      <x:c r="N7" s="38" t="str">
        <x:f>IF(M7&gt;=80,"I+D muy prometedor",IF(M7&gt;=65,"Candidata interesante",IF(M7&gt;=50,"Vigilar","Descartar")))</x:f>
        <x:v>Vigilar</x:v>
      </x:c>
      <x:c r="O7" t="str">
        <x:v>Mejora comercial y adopción de secuenciación</x:v>
      </x:c>
      <x:c r="P7" t="str">
        <x:v>Consumo de caja y competencia</x:v>
      </x:c>
      <x:c r="Q7" t="str">
        <x:v>https://investor.pacificbiosciences.com/</x:v>
      </x:c>
      <x:c r="R7" t="str">
        <x:v>2026-05-23</x:v>
      </x:c>
    </x:row>
    <x:row r="8">
      <x:c r="A8" t="str">
        <x:v>TWST</x:v>
      </x:c>
      <x:c r="B8" t="str">
        <x:v>Twist Bioscience</x:v>
      </x:c>
      <x:c r="C8" t="str">
        <x:v>Biología sintética</x:v>
      </x:c>
      <x:c r="D8" t="str">
        <x:v>Síntesis de ADN, biología sintética y descubrimiento de anticuerpos</x:v>
      </x:c>
      <x:c r="E8" t="str">
        <x:v>Comercial</x:v>
      </x:c>
      <x:c r="F8" t="n">
        <x:v>78</x:v>
      </x:c>
      <x:c r="G8" t="n">
        <x:v>64</x:v>
      </x:c>
      <x:c r="H8" t="n">
        <x:v>58</x:v>
      </x:c>
      <x:c r="I8" t="n">
        <x:v>78</x:v>
      </x:c>
      <x:c r="J8" t="n">
        <x:v>66</x:v>
      </x:c>
      <x:c r="K8" t="n">
        <x:v>52</x:v>
      </x:c>
      <x:c r="L8" t="n">
        <x:v>50</x:v>
      </x:c>
      <x:c r="M8" t="n">
        <x:f>ROUND(F8*Parametros!$B$2+G8*Parametros!$B$3+H8*Parametros!$B$4+I8*Parametros!$B$5+J8*Parametros!$B$6+K8*Parametros!$B$7+L8*Parametros!$B$8,0)</x:f>
        <x:v>67</x:v>
      </x:c>
      <x:c r="N8" s="38" t="str">
        <x:f>IF(M8&gt;=80,"I+D muy prometedor",IF(M8&gt;=65,"Candidata interesante",IF(M8&gt;=50,"Vigilar","Descartar")))</x:f>
        <x:v>Candidata interesante</x:v>
      </x:c>
      <x:c r="O8" t="str">
        <x:v>Crecimiento de ingresos y acuerdos</x:v>
      </x:c>
      <x:c r="P8" t="str">
        <x:v>Margen y necesidad de escala</x:v>
      </x:c>
      <x:c r="Q8" t="str">
        <x:v>https://investors.twistbioscience.com/</x:v>
      </x:c>
      <x:c r="R8" t="str">
        <x:v>2026-05-23</x:v>
      </x:c>
    </x:row>
    <x:row r="9">
      <x:c r="A9" t="str">
        <x:v>DNA</x:v>
      </x:c>
      <x:c r="B9" t="str">
        <x:v>Ginkgo Bioworks</x:v>
      </x:c>
      <x:c r="C9" t="str">
        <x:v>Biología sintética</x:v>
      </x:c>
      <x:c r="D9" t="str">
        <x:v>Plataforma celular programable y automatización biológica</x:v>
      </x:c>
      <x:c r="E9" t="str">
        <x:v>Comercial/Plataforma</x:v>
      </x:c>
      <x:c r="F9" t="n">
        <x:v>72</x:v>
      </x:c>
      <x:c r="G9" t="n">
        <x:v>54</x:v>
      </x:c>
      <x:c r="H9" t="n">
        <x:v>48</x:v>
      </x:c>
      <x:c r="I9" t="n">
        <x:v>82</x:v>
      </x:c>
      <x:c r="J9" t="n">
        <x:v>60</x:v>
      </x:c>
      <x:c r="K9" t="n">
        <x:v>35</x:v>
      </x:c>
      <x:c r="L9" t="n">
        <x:v>42</x:v>
      </x:c>
      <x:c r="M9" t="n">
        <x:f>ROUND(F9*Parametros!$B$2+G9*Parametros!$B$3+H9*Parametros!$B$4+I9*Parametros!$B$5+J9*Parametros!$B$6+K9*Parametros!$B$7+L9*Parametros!$B$8,0)</x:f>
        <x:v>61</x:v>
      </x:c>
      <x:c r="N9" s="38" t="str">
        <x:f>IF(M9&gt;=80,"I+D muy prometedor",IF(M9&gt;=65,"Candidata interesante",IF(M9&gt;=50,"Vigilar","Descartar")))</x:f>
        <x:v>Vigilar</x:v>
      </x:c>
      <x:c r="O9" t="str">
        <x:v>Reestructuración / contratos de plataforma</x:v>
      </x:c>
      <x:c r="P9" t="str">
        <x:v>Dilución y monetización lenta</x:v>
      </x:c>
      <x:c r="Q9" t="str">
        <x:v>https://investors.ginkgobioworks.com/</x:v>
      </x:c>
      <x:c r="R9" t="str">
        <x:v>2026-05-23</x:v>
      </x:c>
    </x:row>
    <x:row r="10">
      <x:c r="A10" t="str">
        <x:v>RXRX</x:v>
      </x:c>
      <x:c r="B10" t="str">
        <x:v>Recursion Pharmaceuticals</x:v>
      </x:c>
      <x:c r="C10" t="str">
        <x:v>IA Salud</x:v>
      </x:c>
      <x:c r="D10" t="str">
        <x:v>Drug discovery con plataforma IA-native Recursion OS</x:v>
      </x:c>
      <x:c r="E10" t="str">
        <x:v>Clínica/Plataforma</x:v>
      </x:c>
      <x:c r="F10" t="n">
        <x:v>84</x:v>
      </x:c>
      <x:c r="G10" t="n">
        <x:v>78</x:v>
      </x:c>
      <x:c r="H10" t="n">
        <x:v>64</x:v>
      </x:c>
      <x:c r="I10" t="n">
        <x:v>86</x:v>
      </x:c>
      <x:c r="J10" t="n">
        <x:v>80</x:v>
      </x:c>
      <x:c r="K10" t="n">
        <x:v>52</x:v>
      </x:c>
      <x:c r="L10" t="n">
        <x:v>66</x:v>
      </x:c>
      <x:c r="M10" t="n">
        <x:f>ROUND(F10*Parametros!$B$2+G10*Parametros!$B$3+H10*Parametros!$B$4+I10*Parametros!$B$5+J10*Parametros!$B$6+K10*Parametros!$B$7+L10*Parametros!$B$8,0)</x:f>
        <x:v>76</x:v>
      </x:c>
      <x:c r="N10" s="38" t="str">
        <x:f>IF(M10&gt;=80,"I+D muy prometedor",IF(M10&gt;=65,"Candidata interesante",IF(M10&gt;=50,"Vigilar","Descartar")))</x:f>
        <x:v>Candidata interesante</x:v>
      </x:c>
      <x:c r="O10" t="str">
        <x:v>Datos clínicos y acuerdos estratégicos</x:v>
      </x:c>
      <x:c r="P10" t="str">
        <x:v>Burn rate y validación clínica</x:v>
      </x:c>
      <x:c r="Q10" t="str">
        <x:v>https://ir.recursion.com/</x:v>
      </x:c>
      <x:c r="R10" t="str">
        <x:v>2026-05-23</x:v>
      </x:c>
    </x:row>
    <x:row r="11">
      <x:c r="A11" t="str">
        <x:v>SDGR</x:v>
      </x:c>
      <x:c r="B11" t="str">
        <x:v>Schrödinger</x:v>
      </x:c>
      <x:c r="C11" t="str">
        <x:v>IA Salud/Software</x:v>
      </x:c>
      <x:c r="D11" t="str">
        <x:v>Simulación molecular y software para descubrimiento de fármacos</x:v>
      </x:c>
      <x:c r="E11" t="str">
        <x:v>Comercial/Clínica</x:v>
      </x:c>
      <x:c r="F11" t="n">
        <x:v>80</x:v>
      </x:c>
      <x:c r="G11" t="n">
        <x:v>66</x:v>
      </x:c>
      <x:c r="H11" t="n">
        <x:v>62</x:v>
      </x:c>
      <x:c r="I11" t="n">
        <x:v>78</x:v>
      </x:c>
      <x:c r="J11" t="n">
        <x:v>72</x:v>
      </x:c>
      <x:c r="K11" t="n">
        <x:v>58</x:v>
      </x:c>
      <x:c r="L11" t="n">
        <x:v>52</x:v>
      </x:c>
      <x:c r="M11" t="n">
        <x:f>ROUND(F11*Parametros!$B$2+G11*Parametros!$B$3+H11*Parametros!$B$4+I11*Parametros!$B$5+J11*Parametros!$B$6+K11*Parametros!$B$7+L11*Parametros!$B$8,0)</x:f>
        <x:v>70</x:v>
      </x:c>
      <x:c r="N11" s="38" t="str">
        <x:f>IF(M11&gt;=80,"I+D muy prometedor",IF(M11&gt;=65,"Candidata interesante",IF(M11&gt;=50,"Vigilar","Descartar")))</x:f>
        <x:v>Candidata interesante</x:v>
      </x:c>
      <x:c r="O11" t="str">
        <x:v>Nuevos acuerdos pharma / pipeline</x:v>
      </x:c>
      <x:c r="P11" t="str">
        <x:v>Dependencia de contratos y pipeline</x:v>
      </x:c>
      <x:c r="Q11" t="str">
        <x:v>https://ir.schrodinger.com/</x:v>
      </x:c>
      <x:c r="R11" t="str">
        <x:v>2026-05-23</x:v>
      </x:c>
    </x:row>
    <x:row r="12">
      <x:c r="A12" t="str">
        <x:v>ABSI</x:v>
      </x:c>
      <x:c r="B12" t="str">
        <x:v>Absci</x:v>
      </x:c>
      <x:c r="C12" t="str">
        <x:v>IA Salud</x:v>
      </x:c>
      <x:c r="D12" t="str">
        <x:v>Diseño de anticuerpos con IA generativa</x:v>
      </x:c>
      <x:c r="E12" t="str">
        <x:v>Preclínica/Clínica inicial</x:v>
      </x:c>
      <x:c r="F12" t="n">
        <x:v>76</x:v>
      </x:c>
      <x:c r="G12" t="n">
        <x:v>62</x:v>
      </x:c>
      <x:c r="H12" t="n">
        <x:v>48</x:v>
      </x:c>
      <x:c r="I12" t="n">
        <x:v>76</x:v>
      </x:c>
      <x:c r="J12" t="n">
        <x:v>58</x:v>
      </x:c>
      <x:c r="K12" t="n">
        <x:v>38</x:v>
      </x:c>
      <x:c r="L12" t="n">
        <x:v>50</x:v>
      </x:c>
      <x:c r="M12" t="n">
        <x:f>ROUND(F12*Parametros!$B$2+G12*Parametros!$B$3+H12*Parametros!$B$4+I12*Parametros!$B$5+J12*Parametros!$B$6+K12*Parametros!$B$7+L12*Parametros!$B$8,0)</x:f>
        <x:v>63</x:v>
      </x:c>
      <x:c r="N12" s="38" t="str">
        <x:f>IF(M12&gt;=80,"I+D muy prometedor",IF(M12&gt;=65,"Candidata interesante",IF(M12&gt;=50,"Vigilar","Descartar")))</x:f>
        <x:v>Vigilar</x:v>
      </x:c>
      <x:c r="O12" t="str">
        <x:v>Acuerdos y transición clínica</x:v>
      </x:c>
      <x:c r="P12" t="str">
        <x:v>Riesgo temprano y financiación</x:v>
      </x:c>
      <x:c r="Q12" t="str">
        <x:v>https://investors.absci.com/</x:v>
      </x:c>
      <x:c r="R12" t="str">
        <x:v>2026-05-23</x:v>
      </x:c>
    </x:row>
    <x:row r="13">
      <x:c r="A13" t="str">
        <x:v>SANA</x:v>
      </x:c>
      <x:c r="B13" t="str">
        <x:v>Sana Biotechnology</x:v>
      </x:c>
      <x:c r="C13" t="str">
        <x:v>Terapia celular</x:v>
      </x:c>
      <x:c r="D13" t="str">
        <x:v>Células modificadas e inmunología regenerativa</x:v>
      </x:c>
      <x:c r="E13" t="str">
        <x:v>Clínica</x:v>
      </x:c>
      <x:c r="F13" t="n">
        <x:v>78</x:v>
      </x:c>
      <x:c r="G13" t="n">
        <x:v>68</x:v>
      </x:c>
      <x:c r="H13" t="n">
        <x:v>54</x:v>
      </x:c>
      <x:c r="I13" t="n">
        <x:v>80</x:v>
      </x:c>
      <x:c r="J13" t="n">
        <x:v>64</x:v>
      </x:c>
      <x:c r="K13" t="n">
        <x:v>45</x:v>
      </x:c>
      <x:c r="L13" t="n">
        <x:v>48</x:v>
      </x:c>
      <x:c r="M13" t="n">
        <x:f>ROUND(F13*Parametros!$B$2+G13*Parametros!$B$3+H13*Parametros!$B$4+I13*Parametros!$B$5+J13*Parametros!$B$6+K13*Parametros!$B$7+L13*Parametros!$B$8,0)</x:f>
        <x:v>67</x:v>
      </x:c>
      <x:c r="N13" s="38" t="str">
        <x:f>IF(M13&gt;=80,"I+D muy prometedor",IF(M13&gt;=65,"Candidata interesante",IF(M13&gt;=50,"Vigilar","Descartar")))</x:f>
        <x:v>Candidata interesante</x:v>
      </x:c>
      <x:c r="O13" t="str">
        <x:v>Datos clínicos inmunología/células</x:v>
      </x:c>
      <x:c r="P13" t="str">
        <x:v>Caja y riesgo clínico</x:v>
      </x:c>
      <x:c r="Q13" t="str">
        <x:v>https://investors.sana.com/</x:v>
      </x:c>
      <x:c r="R13" t="str">
        <x:v>2026-05-23</x:v>
      </x:c>
    </x:row>
    <x:row r="14">
      <x:c r="A14" t="str">
        <x:v>FATE</x:v>
      </x:c>
      <x:c r="B14" t="str">
        <x:v>Fate Therapeutics</x:v>
      </x:c>
      <x:c r="C14" t="str">
        <x:v>Terapia celular</x:v>
      </x:c>
      <x:c r="D14" t="str">
        <x:v>Terapias celulares off-the-shelf</x:v>
      </x:c>
      <x:c r="E14" t="str">
        <x:v>Clínica</x:v>
      </x:c>
      <x:c r="F14" t="n">
        <x:v>74</x:v>
      </x:c>
      <x:c r="G14" t="n">
        <x:v>56</x:v>
      </x:c>
      <x:c r="H14" t="n">
        <x:v>52</x:v>
      </x:c>
      <x:c r="I14" t="n">
        <x:v>76</x:v>
      </x:c>
      <x:c r="J14" t="n">
        <x:v>55</x:v>
      </x:c>
      <x:c r="K14" t="n">
        <x:v>44</x:v>
      </x:c>
      <x:c r="L14" t="n">
        <x:v>42</x:v>
      </x:c>
      <x:c r="M14" t="n">
        <x:f>ROUND(F14*Parametros!$B$2+G14*Parametros!$B$3+H14*Parametros!$B$4+I14*Parametros!$B$5+J14*Parametros!$B$6+K14*Parametros!$B$7+L14*Parametros!$B$8,0)</x:f>
        <x:v>61</x:v>
      </x:c>
      <x:c r="N14" s="38" t="str">
        <x:f>IF(M14&gt;=80,"I+D muy prometedor",IF(M14&gt;=65,"Candidata interesante",IF(M14&gt;=50,"Vigilar","Descartar")))</x:f>
        <x:v>Vigilar</x:v>
      </x:c>
      <x:c r="O14" t="str">
        <x:v>Datos de programas celulares</x:v>
      </x:c>
      <x:c r="P14" t="str">
        <x:v>Historial de cambios de pipeline</x:v>
      </x:c>
      <x:c r="Q14" t="str">
        <x:v>https://ir.fatetherapeutics.com/</x:v>
      </x:c>
      <x:c r="R14" t="str">
        <x:v>2026-05-23</x:v>
      </x:c>
    </x:row>
    <x:row r="15">
      <x:c r="A15" t="str">
        <x:v>BMEA</x:v>
      </x:c>
      <x:c r="B15" t="str">
        <x:v>Biomea Fusion</x:v>
      </x:c>
      <x:c r="C15" t="str">
        <x:v>Biotech</x:v>
      </x:c>
      <x:c r="D15" t="str">
        <x:v>Terapias covalentes para diabetes y oncología</x:v>
      </x:c>
      <x:c r="E15" t="str">
        <x:v>Clínica</x:v>
      </x:c>
      <x:c r="F15" t="n">
        <x:v>72</x:v>
      </x:c>
      <x:c r="G15" t="n">
        <x:v>68</x:v>
      </x:c>
      <x:c r="H15" t="n">
        <x:v>46</x:v>
      </x:c>
      <x:c r="I15" t="n">
        <x:v>78</x:v>
      </x:c>
      <x:c r="J15" t="n">
        <x:v>54</x:v>
      </x:c>
      <x:c r="K15" t="n">
        <x:v>38</x:v>
      </x:c>
      <x:c r="L15" t="n">
        <x:v>50</x:v>
      </x:c>
      <x:c r="M15" t="n">
        <x:f>ROUND(F15*Parametros!$B$2+G15*Parametros!$B$3+H15*Parametros!$B$4+I15*Parametros!$B$5+J15*Parametros!$B$6+K15*Parametros!$B$7+L15*Parametros!$B$8,0)</x:f>
        <x:v>62</x:v>
      </x:c>
      <x:c r="N15" s="38" t="str">
        <x:f>IF(M15&gt;=80,"I+D muy prometedor",IF(M15&gt;=65,"Candidata interesante",IF(M15&gt;=50,"Vigilar","Descartar")))</x:f>
        <x:v>Vigilar</x:v>
      </x:c>
      <x:c r="O15" t="str">
        <x:v>Datos clínicos clave</x:v>
      </x:c>
      <x:c r="P15" t="str">
        <x:v>Volatilidad clínica y financiación</x:v>
      </x:c>
      <x:c r="Q15" t="str">
        <x:v>https://investors.biomeafusion.com/</x:v>
      </x:c>
      <x:c r="R15" t="str">
        <x:v>2026-05-23</x:v>
      </x:c>
    </x:row>
    <x:row r="16">
      <x:c r="A16" t="str">
        <x:v>TMDX</x:v>
      </x:c>
      <x:c r="B16" t="str">
        <x:v>TransMedics</x:v>
      </x:c>
      <x:c r="C16" t="str">
        <x:v>Medtech</x:v>
      </x:c>
      <x:c r="D16" t="str">
        <x:v>Sistemas de preservación y transporte de órganos</x:v>
      </x:c>
      <x:c r="E16" t="str">
        <x:v>Comercial</x:v>
      </x:c>
      <x:c r="F16" t="n">
        <x:v>74</x:v>
      </x:c>
      <x:c r="G16" t="n">
        <x:v>70</x:v>
      </x:c>
      <x:c r="H16" t="n">
        <x:v>72</x:v>
      </x:c>
      <x:c r="I16" t="n">
        <x:v>82</x:v>
      </x:c>
      <x:c r="J16" t="n">
        <x:v>76</x:v>
      </x:c>
      <x:c r="K16" t="n">
        <x:v>68</x:v>
      </x:c>
      <x:c r="L16" t="n">
        <x:v>62</x:v>
      </x:c>
      <x:c r="M16" t="n">
        <x:f>ROUND(F16*Parametros!$B$2+G16*Parametros!$B$3+H16*Parametros!$B$4+I16*Parametros!$B$5+J16*Parametros!$B$6+K16*Parametros!$B$7+L16*Parametros!$B$8,0)</x:f>
        <x:v>73</x:v>
      </x:c>
      <x:c r="N16" s="38" t="str">
        <x:f>IF(M16&gt;=80,"I+D muy prometedor",IF(M16&gt;=65,"Candidata interesante",IF(M16&gt;=50,"Vigilar","Descartar")))</x:f>
        <x:v>Candidata interesante</x:v>
      </x:c>
      <x:c r="O16" t="str">
        <x:v>Expansión comercial y adopción hospitalaria</x:v>
      </x:c>
      <x:c r="P16" t="str">
        <x:v>Valoración exigente</x:v>
      </x:c>
      <x:c r="Q16" t="str">
        <x:v>https://investors.transmedics.com/</x:v>
      </x:c>
      <x:c r="R16" t="str">
        <x:v>2026-05-23</x:v>
      </x:c>
    </x:row>
    <x:row r="17">
      <x:c r="A17" t="str">
        <x:v>IONQ</x:v>
      </x:c>
      <x:c r="B17" t="str">
        <x:v>IonQ</x:v>
      </x:c>
      <x:c r="C17" t="str">
        <x:v>Cuántica</x:v>
      </x:c>
      <x:c r="D17" t="str">
        <x:v>Computación cuántica full-stack, networking y sensing</x:v>
      </x:c>
      <x:c r="E17" t="str">
        <x:v>Comercial inicial</x:v>
      </x:c>
      <x:c r="F17" t="n">
        <x:v>88</x:v>
      </x:c>
      <x:c r="G17" t="n">
        <x:v>82</x:v>
      </x:c>
      <x:c r="H17" t="n">
        <x:v>92</x:v>
      </x:c>
      <x:c r="I17" t="n">
        <x:v>90</x:v>
      </x:c>
      <x:c r="J17" t="n">
        <x:v>86</x:v>
      </x:c>
      <x:c r="K17" t="n">
        <x:v>72</x:v>
      </x:c>
      <x:c r="L17" t="n">
        <x:v>78</x:v>
      </x:c>
      <x:c r="M17" t="n">
        <x:f>ROUND(F17*Parametros!$B$2+G17*Parametros!$B$3+H17*Parametros!$B$4+I17*Parametros!$B$5+J17*Parametros!$B$6+K17*Parametros!$B$7+L17*Parametros!$B$8,0)</x:f>
        <x:v>86</x:v>
      </x:c>
      <x:c r="N17" s="38" t="str">
        <x:f>IF(M17&gt;=80,"I+D muy prometedor",IF(M17&gt;=65,"Candidata interesante",IF(M17&gt;=50,"Vigilar","Descartar")))</x:f>
        <x:v>I+D muy prometedor</x:v>
      </x:c>
      <x:c r="O17" t="str">
        <x:v>Contratos, adquisiciones y expansión comercial</x:v>
      </x:c>
      <x:c r="P17" t="str">
        <x:v>Valoración y ejecución tecnológica</x:v>
      </x:c>
      <x:c r="Q17" t="str">
        <x:v>https://investors.ionq.com/</x:v>
      </x:c>
      <x:c r="R17" t="str">
        <x:v>2026-05-23</x:v>
      </x:c>
    </x:row>
    <x:row r="18">
      <x:c r="A18" t="str">
        <x:v>RGTI</x:v>
      </x:c>
      <x:c r="B18" t="str">
        <x:v>Rigetti Computing</x:v>
      </x:c>
      <x:c r="C18" t="str">
        <x:v>Cuántica</x:v>
      </x:c>
      <x:c r="D18" t="str">
        <x:v>Procesadores cuánticos superconductores</x:v>
      </x:c>
      <x:c r="E18" t="str">
        <x:v>Desarrollo/Comercial inicial</x:v>
      </x:c>
      <x:c r="F18" t="n">
        <x:v>76</x:v>
      </x:c>
      <x:c r="G18" t="n">
        <x:v>74</x:v>
      </x:c>
      <x:c r="H18" t="n">
        <x:v>52</x:v>
      </x:c>
      <x:c r="I18" t="n">
        <x:v>82</x:v>
      </x:c>
      <x:c r="J18" t="n">
        <x:v>64</x:v>
      </x:c>
      <x:c r="K18" t="n">
        <x:v>38</x:v>
      </x:c>
      <x:c r="L18" t="n">
        <x:v>76</x:v>
      </x:c>
      <x:c r="M18" t="n">
        <x:f>ROUND(F18*Parametros!$B$2+G18*Parametros!$B$3+H18*Parametros!$B$4+I18*Parametros!$B$5+J18*Parametros!$B$6+K18*Parametros!$B$7+L18*Parametros!$B$8,0)</x:f>
        <x:v>69</x:v>
      </x:c>
      <x:c r="N18" s="38" t="str">
        <x:f>IF(M18&gt;=80,"I+D muy prometedor",IF(M18&gt;=65,"Candidata interesante",IF(M18&gt;=50,"Vigilar","Descartar")))</x:f>
        <x:v>Candidata interesante</x:v>
      </x:c>
      <x:c r="O18" t="str">
        <x:v>Financiación pública / roadmap de qubits</x:v>
      </x:c>
      <x:c r="P18" t="str">
        <x:v>Dilución y alto burn rate</x:v>
      </x:c>
      <x:c r="Q18" t="str">
        <x:v>https://investors.rigetti.com/</x:v>
      </x:c>
      <x:c r="R18" t="str">
        <x:v>2026-05-23</x:v>
      </x:c>
    </x:row>
    <x:row r="19">
      <x:c r="A19" t="str">
        <x:v>QBTS</x:v>
      </x:c>
      <x:c r="B19" t="str">
        <x:v>D-Wave Quantum</x:v>
      </x:c>
      <x:c r="C19" t="str">
        <x:v>Cuántica</x:v>
      </x:c>
      <x:c r="D19" t="str">
        <x:v>Quantum annealing y gate-model; servicios cloud</x:v>
      </x:c>
      <x:c r="E19" t="str">
        <x:v>Comercial inicial</x:v>
      </x:c>
      <x:c r="F19" t="n">
        <x:v>78</x:v>
      </x:c>
      <x:c r="G19" t="n">
        <x:v>78</x:v>
      </x:c>
      <x:c r="H19" t="n">
        <x:v>76</x:v>
      </x:c>
      <x:c r="I19" t="n">
        <x:v>84</x:v>
      </x:c>
      <x:c r="J19" t="n">
        <x:v>74</x:v>
      </x:c>
      <x:c r="K19" t="n">
        <x:v>56</x:v>
      </x:c>
      <x:c r="L19" t="n">
        <x:v>74</x:v>
      </x:c>
      <x:c r="M19" t="n">
        <x:f>ROUND(F19*Parametros!$B$2+G19*Parametros!$B$3+H19*Parametros!$B$4+I19*Parametros!$B$5+J19*Parametros!$B$6+K19*Parametros!$B$7+L19*Parametros!$B$8,0)</x:f>
        <x:v>77</x:v>
      </x:c>
      <x:c r="N19" s="38" t="str">
        <x:f>IF(M19&gt;=80,"I+D muy prometedor",IF(M19&gt;=65,"Candidata interesante",IF(M19&gt;=50,"Vigilar","Descartar")))</x:f>
        <x:v>Candidata interesante</x:v>
      </x:c>
      <x:c r="O19" t="str">
        <x:v>Bookings, clientes y contratos públicos</x:v>
      </x:c>
      <x:c r="P19" t="str">
        <x:v>Comercialización aún incipiente</x:v>
      </x:c>
      <x:c r="Q19" t="str">
        <x:v>https://ir.dwavequantum.com/</x:v>
      </x:c>
      <x:c r="R19" t="str">
        <x:v>2026-05-23</x:v>
      </x:c>
    </x:row>
    <x:row r="20">
      <x:c r="A20" t="str">
        <x:v>QUBT</x:v>
      </x:c>
      <x:c r="B20" t="str">
        <x:v>Quantum Computing Inc.</x:v>
      </x:c>
      <x:c r="C20" t="str">
        <x:v>Cuántica/Fotónica</x:v>
      </x:c>
      <x:c r="D20" t="str">
        <x:v>Fotónica cuántica y soluciones de optimización</x:v>
      </x:c>
      <x:c r="E20" t="str">
        <x:v>Desarrollo</x:v>
      </x:c>
      <x:c r="F20" t="n">
        <x:v>70</x:v>
      </x:c>
      <x:c r="G20" t="n">
        <x:v>58</x:v>
      </x:c>
      <x:c r="H20" t="n">
        <x:v>44</x:v>
      </x:c>
      <x:c r="I20" t="n">
        <x:v>76</x:v>
      </x:c>
      <x:c r="J20" t="n">
        <x:v>48</x:v>
      </x:c>
      <x:c r="K20" t="n">
        <x:v>34</x:v>
      </x:c>
      <x:c r="L20" t="n">
        <x:v>66</x:v>
      </x:c>
      <x:c r="M20" t="n">
        <x:f>ROUND(F20*Parametros!$B$2+G20*Parametros!$B$3+H20*Parametros!$B$4+I20*Parametros!$B$5+J20*Parametros!$B$6+K20*Parametros!$B$7+L20*Parametros!$B$8,0)</x:f>
        <x:v>59</x:v>
      </x:c>
      <x:c r="N20" s="38" t="str">
        <x:f>IF(M20&gt;=80,"I+D muy prometedor",IF(M20&gt;=65,"Candidata interesante",IF(M20&gt;=50,"Vigilar","Descartar")))</x:f>
        <x:v>Vigilar</x:v>
      </x:c>
      <x:c r="O20" t="str">
        <x:v>Anuncios de producto / contratos</x:v>
      </x:c>
      <x:c r="P20" t="str">
        <x:v>Riesgo de hype y ejecución</x:v>
      </x:c>
      <x:c r="Q20" t="str">
        <x:v>https://www.quantumcomputinginc.com/investors</x:v>
      </x:c>
      <x:c r="R20" t="str">
        <x:v>2026-05-23</x:v>
      </x:c>
    </x:row>
    <x:row r="21">
      <x:c r="A21" t="str">
        <x:v>ARQQ</x:v>
      </x:c>
      <x:c r="B21" t="str">
        <x:v>Arqit Quantum</x:v>
      </x:c>
      <x:c r="C21" t="str">
        <x:v>Ciberseguridad cuántica</x:v>
      </x:c>
      <x:c r="D21" t="str">
        <x:v>Criptografía quantum-safe</x:v>
      </x:c>
      <x:c r="E21" t="str">
        <x:v>Comercial inicial</x:v>
      </x:c>
      <x:c r="F21" t="n">
        <x:v>68</x:v>
      </x:c>
      <x:c r="G21" t="n">
        <x:v>56</x:v>
      </x:c>
      <x:c r="H21" t="n">
        <x:v>42</x:v>
      </x:c>
      <x:c r="I21" t="n">
        <x:v>74</x:v>
      </x:c>
      <x:c r="J21" t="n">
        <x:v>50</x:v>
      </x:c>
      <x:c r="K21" t="n">
        <x:v>36</x:v>
      </x:c>
      <x:c r="L21" t="n">
        <x:v>48</x:v>
      </x:c>
      <x:c r="M21" t="n">
        <x:f>ROUND(F21*Parametros!$B$2+G21*Parametros!$B$3+H21*Parametros!$B$4+I21*Parametros!$B$5+J21*Parametros!$B$6+K21*Parametros!$B$7+L21*Parametros!$B$8,0)</x:f>
        <x:v>57</x:v>
      </x:c>
      <x:c r="N21" s="38" t="str">
        <x:f>IF(M21&gt;=80,"I+D muy prometedor",IF(M21&gt;=65,"Candidata interesante",IF(M21&gt;=50,"Vigilar","Descartar")))</x:f>
        <x:v>Vigilar</x:v>
      </x:c>
      <x:c r="O21" t="str">
        <x:v>Contratos de ciberseguridad</x:v>
      </x:c>
      <x:c r="P21" t="str">
        <x:v>Adopción comercial incierta</x:v>
      </x:c>
      <x:c r="Q21" t="str">
        <x:v>https://ir.arqit.uk/</x:v>
      </x:c>
      <x:c r="R21" t="str">
        <x:v>2026-05-23</x:v>
      </x:c>
    </x:row>
    <x:row r="22">
      <x:c r="A22" t="str">
        <x:v>IBM</x:v>
      </x:c>
      <x:c r="B22" t="str">
        <x:v>IBM</x:v>
      </x:c>
      <x:c r="C22" t="str">
        <x:v>Cuántica/IA</x:v>
      </x:c>
      <x:c r="D22" t="str">
        <x:v>Roadmap cuántico, IA empresarial y servicios cloud</x:v>
      </x:c>
      <x:c r="E22" t="str">
        <x:v>Comercial</x:v>
      </x:c>
      <x:c r="F22" t="n">
        <x:v>82</x:v>
      </x:c>
      <x:c r="G22" t="n">
        <x:v>76</x:v>
      </x:c>
      <x:c r="H22" t="n">
        <x:v>88</x:v>
      </x:c>
      <x:c r="I22" t="n">
        <x:v>84</x:v>
      </x:c>
      <x:c r="J22" t="n">
        <x:v>86</x:v>
      </x:c>
      <x:c r="K22" t="n">
        <x:v>82</x:v>
      </x:c>
      <x:c r="L22" t="n">
        <x:v>66</x:v>
      </x:c>
      <x:c r="M22" t="n">
        <x:f>ROUND(F22*Parametros!$B$2+G22*Parametros!$B$3+H22*Parametros!$B$4+I22*Parametros!$B$5+J22*Parametros!$B$6+K22*Parametros!$B$7+L22*Parametros!$B$8,0)</x:f>
        <x:v>82</x:v>
      </x:c>
      <x:c r="N22" s="38" t="str">
        <x:f>IF(M22&gt;=80,"I+D muy prometedor",IF(M22&gt;=65,"Candidata interesante",IF(M22&gt;=50,"Vigilar","Descartar")))</x:f>
        <x:v>I+D muy prometedor</x:v>
      </x:c>
      <x:c r="O22" t="str">
        <x:v>Inversión pública y avances de roadmap</x:v>
      </x:c>
      <x:c r="P22" t="str">
        <x:v>Menor pure-play; crecimiento mixto</x:v>
      </x:c>
      <x:c r="Q22" t="str">
        <x:v>https://www.ibm.com/investor</x:v>
      </x:c>
      <x:c r="R22" t="str">
        <x:v>2026-05-23</x:v>
      </x:c>
    </x:row>
    <x:row r="23">
      <x:c r="A23" t="str">
        <x:v>GFS</x:v>
      </x:c>
      <x:c r="B23" t="str">
        <x:v>GlobalFoundries</x:v>
      </x:c>
      <x:c r="C23" t="str">
        <x:v>Semiconductores</x:v>
      </x:c>
      <x:c r="D23" t="str">
        <x:v>Foundry especializada y chips estratégicos</x:v>
      </x:c>
      <x:c r="E23" t="str">
        <x:v>Comercial</x:v>
      </x:c>
      <x:c r="F23" t="n">
        <x:v>70</x:v>
      </x:c>
      <x:c r="G23" t="n">
        <x:v>68</x:v>
      </x:c>
      <x:c r="H23" t="n">
        <x:v>78</x:v>
      </x:c>
      <x:c r="I23" t="n">
        <x:v>80</x:v>
      </x:c>
      <x:c r="J23" t="n">
        <x:v>78</x:v>
      </x:c>
      <x:c r="K23" t="n">
        <x:v>72</x:v>
      </x:c>
      <x:c r="L23" t="n">
        <x:v>58</x:v>
      </x:c>
      <x:c r="M23" t="n">
        <x:f>ROUND(F23*Parametros!$B$2+G23*Parametros!$B$3+H23*Parametros!$B$4+I23*Parametros!$B$5+J23*Parametros!$B$6+K23*Parametros!$B$7+L23*Parametros!$B$8,0)</x:f>
        <x:v>73</x:v>
      </x:c>
      <x:c r="N23" s="38" t="str">
        <x:f>IF(M23&gt;=80,"I+D muy prometedor",IF(M23&gt;=65,"Candidata interesante",IF(M23&gt;=50,"Vigilar","Descartar")))</x:f>
        <x:v>Candidata interesante</x:v>
      </x:c>
      <x:c r="O23" t="str">
        <x:v>Subvenciones, contratos y demanda industrial</x:v>
      </x:c>
      <x:c r="P23" t="str">
        <x:v>Ciclo de semiconductores</x:v>
      </x:c>
      <x:c r="Q23" t="str">
        <x:v>https://investors.gf.com/</x:v>
      </x:c>
      <x:c r="R23" t="str">
        <x:v>2026-05-23</x:v>
      </x:c>
    </x:row>
    <x:row r="24">
      <x:c r="A24" t="str">
        <x:v>POET</x:v>
      </x:c>
      <x:c r="B24" t="str">
        <x:v>POET Technologies</x:v>
      </x:c>
      <x:c r="C24" t="str">
        <x:v>Semiconductores/Fotónica</x:v>
      </x:c>
      <x:c r="D24" t="str">
        <x:v>Interposer óptico para IA y data centers</x:v>
      </x:c>
      <x:c r="E24" t="str">
        <x:v>Comercial inicial</x:v>
      </x:c>
      <x:c r="F24" t="n">
        <x:v>78</x:v>
      </x:c>
      <x:c r="G24" t="n">
        <x:v>72</x:v>
      </x:c>
      <x:c r="H24" t="n">
        <x:v>46</x:v>
      </x:c>
      <x:c r="I24" t="n">
        <x:v>84</x:v>
      </x:c>
      <x:c r="J24" t="n">
        <x:v>66</x:v>
      </x:c>
      <x:c r="K24" t="n">
        <x:v>38</x:v>
      </x:c>
      <x:c r="L24" t="n">
        <x:v>70</x:v>
      </x:c>
      <x:c r="M24" t="n">
        <x:f>ROUND(F24*Parametros!$B$2+G24*Parametros!$B$3+H24*Parametros!$B$4+I24*Parametros!$B$5+J24*Parametros!$B$6+K24*Parametros!$B$7+L24*Parametros!$B$8,0)</x:f>
        <x:v>68</x:v>
      </x:c>
      <x:c r="N24" s="38" t="str">
        <x:f>IF(M24&gt;=80,"I+D muy prometedor",IF(M24&gt;=65,"Candidata interesante",IF(M24&gt;=50,"Vigilar","Descartar")))</x:f>
        <x:v>Candidata interesante</x:v>
      </x:c>
      <x:c r="O24" t="str">
        <x:v>Acuerdos comerciales y adopción fotónica</x:v>
      </x:c>
      <x:c r="P24" t="str">
        <x:v>Caja y escalado comercial</x:v>
      </x:c>
      <x:c r="Q24" t="str">
        <x:v>https://poet-technologies.com/investors/</x:v>
      </x:c>
      <x:c r="R24" t="str">
        <x:v>2026-05-23</x:v>
      </x:c>
    </x:row>
    <x:row r="25">
      <x:c r="A25" t="str">
        <x:v>AEHR</x:v>
      </x:c>
      <x:c r="B25" t="str">
        <x:v>Aehr Test Systems</x:v>
      </x:c>
      <x:c r="C25" t="str">
        <x:v>Semiconductores</x:v>
      </x:c>
      <x:c r="D25" t="str">
        <x:v>Test y burn-in para SiC, fotónica y semis avanzados</x:v>
      </x:c>
      <x:c r="E25" t="str">
        <x:v>Comercial</x:v>
      </x:c>
      <x:c r="F25" t="n">
        <x:v>68</x:v>
      </x:c>
      <x:c r="G25" t="n">
        <x:v>60</x:v>
      </x:c>
      <x:c r="H25" t="n">
        <x:v>70</x:v>
      </x:c>
      <x:c r="I25" t="n">
        <x:v>74</x:v>
      </x:c>
      <x:c r="J25" t="n">
        <x:v>66</x:v>
      </x:c>
      <x:c r="K25" t="n">
        <x:v>66</x:v>
      </x:c>
      <x:c r="L25" t="n">
        <x:v>48</x:v>
      </x:c>
      <x:c r="M25" t="n">
        <x:f>ROUND(F25*Parametros!$B$2+G25*Parametros!$B$3+H25*Parametros!$B$4+I25*Parametros!$B$5+J25*Parametros!$B$6+K25*Parametros!$B$7+L25*Parametros!$B$8,0)</x:f>
        <x:v>66</x:v>
      </x:c>
      <x:c r="N25" s="38" t="str">
        <x:f>IF(M25&gt;=80,"I+D muy prometedor",IF(M25&gt;=65,"Candidata interesante",IF(M25&gt;=50,"Vigilar","Descartar")))</x:f>
        <x:v>Candidata interesante</x:v>
      </x:c>
      <x:c r="O25" t="str">
        <x:v>Pedidos y adopción en SiC/fotónica</x:v>
      </x:c>
      <x:c r="P25" t="str">
        <x:v>Ciclo de pedidos concentrado</x:v>
      </x:c>
      <x:c r="Q25" t="str">
        <x:v>https://www.aehr.com/investor-relations/</x:v>
      </x:c>
      <x:c r="R25" t="str">
        <x:v>2026-05-23</x:v>
      </x:c>
    </x:row>
    <x:row r="26">
      <x:c r="A26" t="str">
        <x:v>AMBA</x:v>
      </x:c>
      <x:c r="B26" t="str">
        <x:v>Ambarella</x:v>
      </x:c>
      <x:c r="C26" t="str">
        <x:v>Semiconductores IA</x:v>
      </x:c>
      <x:c r="D26" t="str">
        <x:v>Chips edge AI para visión, automoción y cámaras</x:v>
      </x:c>
      <x:c r="E26" t="str">
        <x:v>Comercial</x:v>
      </x:c>
      <x:c r="F26" t="n">
        <x:v>74</x:v>
      </x:c>
      <x:c r="G26" t="n">
        <x:v>66</x:v>
      </x:c>
      <x:c r="H26" t="n">
        <x:v>76</x:v>
      </x:c>
      <x:c r="I26" t="n">
        <x:v>80</x:v>
      </x:c>
      <x:c r="J26" t="n">
        <x:v>70</x:v>
      </x:c>
      <x:c r="K26" t="n">
        <x:v>72</x:v>
      </x:c>
      <x:c r="L26" t="n">
        <x:v>54</x:v>
      </x:c>
      <x:c r="M26" t="n">
        <x:f>ROUND(F26*Parametros!$B$2+G26*Parametros!$B$3+H26*Parametros!$B$4+I26*Parametros!$B$5+J26*Parametros!$B$6+K26*Parametros!$B$7+L26*Parametros!$B$8,0)</x:f>
        <x:v>72</x:v>
      </x:c>
      <x:c r="N26" s="38" t="str">
        <x:f>IF(M26&gt;=80,"I+D muy prometedor",IF(M26&gt;=65,"Candidata interesante",IF(M26&gt;=50,"Vigilar","Descartar")))</x:f>
        <x:v>Candidata interesante</x:v>
      </x:c>
      <x:c r="O26" t="str">
        <x:v>Adopción edge AI / automoción</x:v>
      </x:c>
      <x:c r="P26" t="str">
        <x:v>Competencia en chips IA</x:v>
      </x:c>
      <x:c r="Q26" t="str">
        <x:v>https://investor.ambarella.com/</x:v>
      </x:c>
      <x:c r="R26" t="str">
        <x:v>2026-05-23</x:v>
      </x:c>
    </x:row>
    <x:row r="27">
      <x:c r="A27" t="str">
        <x:v>QS</x:v>
      </x:c>
      <x:c r="B27" t="str">
        <x:v>QuantumScape</x:v>
      </x:c>
      <x:c r="C27" t="str">
        <x:v>Baterías</x:v>
      </x:c>
      <x:c r="D27" t="str">
        <x:v>Batería estado sólido litio-metal para EV</x:v>
      </x:c>
      <x:c r="E27" t="str">
        <x:v>Pilot/comercialización inicial</x:v>
      </x:c>
      <x:c r="F27" t="n">
        <x:v>86</x:v>
      </x:c>
      <x:c r="G27" t="n">
        <x:v>78</x:v>
      </x:c>
      <x:c r="H27" t="n">
        <x:v>70</x:v>
      </x:c>
      <x:c r="I27" t="n">
        <x:v>88</x:v>
      </x:c>
      <x:c r="J27" t="n">
        <x:v>82</x:v>
      </x:c>
      <x:c r="K27" t="n">
        <x:v>56</x:v>
      </x:c>
      <x:c r="L27" t="n">
        <x:v>64</x:v>
      </x:c>
      <x:c r="M27" t="n">
        <x:f>ROUND(F27*Parametros!$B$2+G27*Parametros!$B$3+H27*Parametros!$B$4+I27*Parametros!$B$5+J27*Parametros!$B$6+K27*Parametros!$B$7+L27*Parametros!$B$8,0)</x:f>
        <x:v>79</x:v>
      </x:c>
      <x:c r="N27" s="38" t="str">
        <x:f>IF(M27&gt;=80,"I+D muy prometedor",IF(M27&gt;=65,"Candidata interesante",IF(M27&gt;=50,"Vigilar","Descartar")))</x:f>
        <x:v>Candidata interesante</x:v>
      </x:c>
      <x:c r="O27" t="str">
        <x:v>Avances de línea piloto y socios OEM</x:v>
      </x:c>
      <x:c r="P27" t="str">
        <x:v>Escalado industrial y plazos</x:v>
      </x:c>
      <x:c r="Q27" t="str">
        <x:v>https://ir.quantumscape.com/</x:v>
      </x:c>
      <x:c r="R27" t="str">
        <x:v>2026-05-23</x:v>
      </x:c>
    </x:row>
    <x:row r="28">
      <x:c r="A28" t="str">
        <x:v>SLDP</x:v>
      </x:c>
      <x:c r="B28" t="str">
        <x:v>Solid Power</x:v>
      </x:c>
      <x:c r="C28" t="str">
        <x:v>Baterías</x:v>
      </x:c>
      <x:c r="D28" t="str">
        <x:v>Electrolito sulfuro y baterías de estado sólido</x:v>
      </x:c>
      <x:c r="E28" t="str">
        <x:v>Pilot/desarrollo</x:v>
      </x:c>
      <x:c r="F28" t="n">
        <x:v>80</x:v>
      </x:c>
      <x:c r="G28" t="n">
        <x:v>74</x:v>
      </x:c>
      <x:c r="H28" t="n">
        <x:v>66</x:v>
      </x:c>
      <x:c r="I28" t="n">
        <x:v>84</x:v>
      </x:c>
      <x:c r="J28" t="n">
        <x:v>76</x:v>
      </x:c>
      <x:c r="K28" t="n">
        <x:v>52</x:v>
      </x:c>
      <x:c r="L28" t="n">
        <x:v>60</x:v>
      </x:c>
      <x:c r="M28" t="n">
        <x:f>ROUND(F28*Parametros!$B$2+G28*Parametros!$B$3+H28*Parametros!$B$4+I28*Parametros!$B$5+J28*Parametros!$B$6+K28*Parametros!$B$7+L28*Parametros!$B$8,0)</x:f>
        <x:v>74</x:v>
      </x:c>
      <x:c r="N28" s="38" t="str">
        <x:f>IF(M28&gt;=80,"I+D muy prometedor",IF(M28&gt;=65,"Candidata interesante",IF(M28&gt;=50,"Vigilar","Descartar")))</x:f>
        <x:v>Candidata interesante</x:v>
      </x:c>
      <x:c r="O28" t="str">
        <x:v>Piloto SK On/Samsung/BMW y producción de electrolito</x:v>
      </x:c>
      <x:c r="P28" t="str">
        <x:v>Dilución y escalado industrial</x:v>
      </x:c>
      <x:c r="Q28" t="str">
        <x:v>https://www.solidpowerbattery.com/investor-relations/</x:v>
      </x:c>
      <x:c r="R28" t="str">
        <x:v>2026-05-23</x:v>
      </x:c>
    </x:row>
    <x:row r="29">
      <x:c r="A29" t="str">
        <x:v>SES</x:v>
      </x:c>
      <x:c r="B29" t="str">
        <x:v>SES AI</x:v>
      </x:c>
      <x:c r="C29" t="str">
        <x:v>Baterías/IA</x:v>
      </x:c>
      <x:c r="D29" t="str">
        <x:v>Baterías Li-metal con IA para seguridad y desarrollo</x:v>
      </x:c>
      <x:c r="E29" t="str">
        <x:v>Pilot/desarrollo</x:v>
      </x:c>
      <x:c r="F29" t="n">
        <x:v>76</x:v>
      </x:c>
      <x:c r="G29" t="n">
        <x:v>66</x:v>
      </x:c>
      <x:c r="H29" t="n">
        <x:v>60</x:v>
      </x:c>
      <x:c r="I29" t="n">
        <x:v>82</x:v>
      </x:c>
      <x:c r="J29" t="n">
        <x:v>66</x:v>
      </x:c>
      <x:c r="K29" t="n">
        <x:v>48</x:v>
      </x:c>
      <x:c r="L29" t="n">
        <x:v>52</x:v>
      </x:c>
      <x:c r="M29" t="n">
        <x:f>ROUND(F29*Parametros!$B$2+G29*Parametros!$B$3+H29*Parametros!$B$4+I29*Parametros!$B$5+J29*Parametros!$B$6+K29*Parametros!$B$7+L29*Parametros!$B$8,0)</x:f>
        <x:v>68</x:v>
      </x:c>
      <x:c r="N29" s="38" t="str">
        <x:f>IF(M29&gt;=80,"I+D muy prometedor",IF(M29&gt;=65,"Candidata interesante",IF(M29&gt;=50,"Vigilar","Descartar")))</x:f>
        <x:v>Candidata interesante</x:v>
      </x:c>
      <x:c r="O29" t="str">
        <x:v>Joint development y muestras para OEMs</x:v>
      </x:c>
      <x:c r="P29" t="str">
        <x:v>Ejecución y competencia</x:v>
      </x:c>
      <x:c r="Q29" t="str">
        <x:v>https://investors.ses.ai/</x:v>
      </x:c>
      <x:c r="R29" t="str">
        <x:v>2026-05-23</x:v>
      </x:c>
    </x:row>
    <x:row r="30">
      <x:c r="A30" t="str">
        <x:v>AMPX</x:v>
      </x:c>
      <x:c r="B30" t="str">
        <x:v>Amprius Technologies</x:v>
      </x:c>
      <x:c r="C30" t="str">
        <x:v>Baterías</x:v>
      </x:c>
      <x:c r="D30" t="str">
        <x:v>Baterías silicon-anode de alta densidad energética</x:v>
      </x:c>
      <x:c r="E30" t="str">
        <x:v>Comercial inicial</x:v>
      </x:c>
      <x:c r="F30" t="n">
        <x:v>74</x:v>
      </x:c>
      <x:c r="G30" t="n">
        <x:v>64</x:v>
      </x:c>
      <x:c r="H30" t="n">
        <x:v>48</x:v>
      </x:c>
      <x:c r="I30" t="n">
        <x:v>78</x:v>
      </x:c>
      <x:c r="J30" t="n">
        <x:v>62</x:v>
      </x:c>
      <x:c r="K30" t="n">
        <x:v>40</x:v>
      </x:c>
      <x:c r="L30" t="n">
        <x:v>54</x:v>
      </x:c>
      <x:c r="M30" t="n">
        <x:f>ROUND(F30*Parametros!$B$2+G30*Parametros!$B$3+H30*Parametros!$B$4+I30*Parametros!$B$5+J30*Parametros!$B$6+K30*Parametros!$B$7+L30*Parametros!$B$8,0)</x:f>
        <x:v>64</x:v>
      </x:c>
      <x:c r="N30" s="38" t="str">
        <x:f>IF(M30&gt;=80,"I+D muy prometedor",IF(M30&gt;=65,"Candidata interesante",IF(M30&gt;=50,"Vigilar","Descartar")))</x:f>
        <x:v>Vigilar</x:v>
      </x:c>
      <x:c r="O30" t="str">
        <x:v>Escalado de producción y pedidos</x:v>
      </x:c>
      <x:c r="P30" t="str">
        <x:v>Necesidad de capital para escalar</x:v>
      </x:c>
      <x:c r="Q30" t="str">
        <x:v>https://ir.amprius.com/</x:v>
      </x:c>
      <x:c r="R30" t="str">
        <x:v>2026-05-23</x:v>
      </x:c>
    </x:row>
    <x:row r="31">
      <x:c r="A31" t="str">
        <x:v>ENVX</x:v>
      </x:c>
      <x:c r="B31" t="str">
        <x:v>Enovix</x:v>
      </x:c>
      <x:c r="C31" t="str">
        <x:v>Baterías</x:v>
      </x:c>
      <x:c r="D31" t="str">
        <x:v>Arquitectura de batería 3D silicon-anode</x:v>
      </x:c>
      <x:c r="E31" t="str">
        <x:v>Comercial inicial</x:v>
      </x:c>
      <x:c r="F31" t="n">
        <x:v>76</x:v>
      </x:c>
      <x:c r="G31" t="n">
        <x:v>66</x:v>
      </x:c>
      <x:c r="H31" t="n">
        <x:v>54</x:v>
      </x:c>
      <x:c r="I31" t="n">
        <x:v>80</x:v>
      </x:c>
      <x:c r="J31" t="n">
        <x:v>62</x:v>
      </x:c>
      <x:c r="K31" t="n">
        <x:v>44</x:v>
      </x:c>
      <x:c r="L31" t="n">
        <x:v>58</x:v>
      </x:c>
      <x:c r="M31" t="n">
        <x:f>ROUND(F31*Parametros!$B$2+G31*Parametros!$B$3+H31*Parametros!$B$4+I31*Parametros!$B$5+J31*Parametros!$B$6+K31*Parametros!$B$7+L31*Parametros!$B$8,0)</x:f>
        <x:v>66</x:v>
      </x:c>
      <x:c r="N31" s="38" t="str">
        <x:f>IF(M31&gt;=80,"I+D muy prometedor",IF(M31&gt;=65,"Candidata interesante",IF(M31&gt;=50,"Vigilar","Descartar")))</x:f>
        <x:v>Candidata interesante</x:v>
      </x:c>
      <x:c r="O31" t="str">
        <x:v>Ramp-up fabricación y adopción clientes</x:v>
      </x:c>
      <x:c r="P31" t="str">
        <x:v>Riesgo de manufactura</x:v>
      </x:c>
      <x:c r="Q31" t="str">
        <x:v>https://ir.enovix.com/</x:v>
      </x:c>
      <x:c r="R31" t="str">
        <x:v>2026-05-23</x:v>
      </x:c>
    </x:row>
    <x:row r="32">
      <x:c r="A32" t="str">
        <x:v>BLDP</x:v>
      </x:c>
      <x:c r="B32" t="str">
        <x:v>Ballard Power</x:v>
      </x:c>
      <x:c r="C32" t="str">
        <x:v>Hidrógeno</x:v>
      </x:c>
      <x:c r="D32" t="str">
        <x:v>Celdas de combustible para movilidad pesada</x:v>
      </x:c>
      <x:c r="E32" t="str">
        <x:v>Comercial</x:v>
      </x:c>
      <x:c r="F32" t="n">
        <x:v>64</x:v>
      </x:c>
      <x:c r="G32" t="n">
        <x:v>54</x:v>
      </x:c>
      <x:c r="H32" t="n">
        <x:v>62</x:v>
      </x:c>
      <x:c r="I32" t="n">
        <x:v>76</x:v>
      </x:c>
      <x:c r="J32" t="n">
        <x:v>64</x:v>
      </x:c>
      <x:c r="K32" t="n">
        <x:v>56</x:v>
      </x:c>
      <x:c r="L32" t="n">
        <x:v>40</x:v>
      </x:c>
      <x:c r="M32" t="n">
        <x:f>ROUND(F32*Parametros!$B$2+G32*Parametros!$B$3+H32*Parametros!$B$4+I32*Parametros!$B$5+J32*Parametros!$B$6+K32*Parametros!$B$7+L32*Parametros!$B$8,0)</x:f>
        <x:v>62</x:v>
      </x:c>
      <x:c r="N32" s="38" t="str">
        <x:f>IF(M32&gt;=80,"I+D muy prometedor",IF(M32&gt;=65,"Candidata interesante",IF(M32&gt;=50,"Vigilar","Descartar")))</x:f>
        <x:v>Vigilar</x:v>
      </x:c>
      <x:c r="O32" t="str">
        <x:v>Pedidos y subsidios hidrógeno</x:v>
      </x:c>
      <x:c r="P32" t="str">
        <x:v>Lentitud adopción y pérdidas</x:v>
      </x:c>
      <x:c r="Q32" t="str">
        <x:v>https://www.ballard.com/investors</x:v>
      </x:c>
      <x:c r="R32" t="str">
        <x:v>2026-05-23</x:v>
      </x:c>
    </x:row>
    <x:row r="33">
      <x:c r="A33" t="str">
        <x:v>BE</x:v>
      </x:c>
      <x:c r="B33" t="str">
        <x:v>Bloom Energy</x:v>
      </x:c>
      <x:c r="C33" t="str">
        <x:v>Energía limpia</x:v>
      </x:c>
      <x:c r="D33" t="str">
        <x:v>Fuel cells, hidrógeno y energía distribuida</x:v>
      </x:c>
      <x:c r="E33" t="str">
        <x:v>Comercial</x:v>
      </x:c>
      <x:c r="F33" t="n">
        <x:v>68</x:v>
      </x:c>
      <x:c r="G33" t="n">
        <x:v>64</x:v>
      </x:c>
      <x:c r="H33" t="n">
        <x:v>62</x:v>
      </x:c>
      <x:c r="I33" t="n">
        <x:v>78</x:v>
      </x:c>
      <x:c r="J33" t="n">
        <x:v>68</x:v>
      </x:c>
      <x:c r="K33" t="n">
        <x:v>58</x:v>
      </x:c>
      <x:c r="L33" t="n">
        <x:v>46</x:v>
      </x:c>
      <x:c r="M33" t="n">
        <x:f>ROUND(F33*Parametros!$B$2+G33*Parametros!$B$3+H33*Parametros!$B$4+I33*Parametros!$B$5+J33*Parametros!$B$6+K33*Parametros!$B$7+L33*Parametros!$B$8,0)</x:f>
        <x:v>66</x:v>
      </x:c>
      <x:c r="N33" s="38" t="str">
        <x:f>IF(M33&gt;=80,"I+D muy prometedor",IF(M33&gt;=65,"Candidata interesante",IF(M33&gt;=50,"Vigilar","Descartar")))</x:f>
        <x:v>Candidata interesante</x:v>
      </x:c>
      <x:c r="O33" t="str">
        <x:v>Contratos de energía y data centers</x:v>
      </x:c>
      <x:c r="P33" t="str">
        <x:v>Rentabilidad y deuda</x:v>
      </x:c>
      <x:c r="Q33" t="str">
        <x:v>https://investor.bloomenergy.com/</x:v>
      </x:c>
      <x:c r="R33" t="str">
        <x:v>2026-05-23</x:v>
      </x:c>
    </x:row>
    <x:row r="34">
      <x:c r="A34" t="str">
        <x:v>RKLB</x:v>
      </x:c>
      <x:c r="B34" t="str">
        <x:v>Rocket Lab</x:v>
      </x:c>
      <x:c r="C34" t="str">
        <x:v>Espacio/Defensa</x:v>
      </x:c>
      <x:c r="D34" t="str">
        <x:v>Lanzamiento orbital, satélites y sistemas espaciales</x:v>
      </x:c>
      <x:c r="E34" t="str">
        <x:v>Comercial</x:v>
      </x:c>
      <x:c r="F34" t="n">
        <x:v>76</x:v>
      </x:c>
      <x:c r="G34" t="n">
        <x:v>76</x:v>
      </x:c>
      <x:c r="H34" t="n">
        <x:v>64</x:v>
      </x:c>
      <x:c r="I34" t="n">
        <x:v>84</x:v>
      </x:c>
      <x:c r="J34" t="n">
        <x:v>74</x:v>
      </x:c>
      <x:c r="K34" t="n">
        <x:v>54</x:v>
      </x:c>
      <x:c r="L34" t="n">
        <x:v>70</x:v>
      </x:c>
      <x:c r="M34" t="n">
        <x:f>ROUND(F34*Parametros!$B$2+G34*Parametros!$B$3+H34*Parametros!$B$4+I34*Parametros!$B$5+J34*Parametros!$B$6+K34*Parametros!$B$7+L34*Parametros!$B$8,0)</x:f>
        <x:v>73</x:v>
      </x:c>
      <x:c r="N34" s="38" t="str">
        <x:f>IF(M34&gt;=80,"I+D muy prometedor",IF(M34&gt;=65,"Candidata interesante",IF(M34&gt;=50,"Vigilar","Descartar")))</x:f>
        <x:v>Candidata interesante</x:v>
      </x:c>
      <x:c r="O34" t="str">
        <x:v>Contratos defensa/espacio y Neutron</x:v>
      </x:c>
      <x:c r="P34" t="str">
        <x:v>Ejecución de Neutron y burn rate</x:v>
      </x:c>
      <x:c r="Q34" t="str">
        <x:v>https://investors.rocketlabusa.com/</x:v>
      </x:c>
      <x:c r="R34" t="str">
        <x:v>2026-05-23</x:v>
      </x:c>
    </x:row>
    <x:row r="35">
      <x:c r="A35" t="str">
        <x:v>LUNR</x:v>
      </x:c>
      <x:c r="B35" t="str">
        <x:v>Intuitive Machines</x:v>
      </x:c>
      <x:c r="C35" t="str">
        <x:v>Espacio</x:v>
      </x:c>
      <x:c r="D35" t="str">
        <x:v>Servicios lunares, infraestructura espacial y contratos NASA</x:v>
      </x:c>
      <x:c r="E35" t="str">
        <x:v>Comercial inicial</x:v>
      </x:c>
      <x:c r="F35" t="n">
        <x:v>70</x:v>
      </x:c>
      <x:c r="G35" t="n">
        <x:v>72</x:v>
      </x:c>
      <x:c r="H35" t="n">
        <x:v>52</x:v>
      </x:c>
      <x:c r="I35" t="n">
        <x:v>78</x:v>
      </x:c>
      <x:c r="J35" t="n">
        <x:v>66</x:v>
      </x:c>
      <x:c r="K35" t="n">
        <x:v>42</x:v>
      </x:c>
      <x:c r="L35" t="n">
        <x:v>66</x:v>
      </x:c>
      <x:c r="M35" t="n">
        <x:f>ROUND(F35*Parametros!$B$2+G35*Parametros!$B$3+H35*Parametros!$B$4+I35*Parametros!$B$5+J35*Parametros!$B$6+K35*Parametros!$B$7+L35*Parametros!$B$8,0)</x:f>
        <x:v>66</x:v>
      </x:c>
      <x:c r="N35" s="38" t="str">
        <x:f>IF(M35&gt;=80,"I+D muy prometedor",IF(M35&gt;=65,"Candidata interesante",IF(M35&gt;=50,"Vigilar","Descartar")))</x:f>
        <x:v>Candidata interesante</x:v>
      </x:c>
      <x:c r="O35" t="str">
        <x:v>Contratos NASA y misiones lunares</x:v>
      </x:c>
      <x:c r="P35" t="str">
        <x:v>Alta volatilidad y dependencia de contratos</x:v>
      </x:c>
      <x:c r="Q35" t="str">
        <x:v>https://investors.intuitivemachines.com/</x:v>
      </x:c>
      <x:c r="R35" t="str">
        <x:v>2026-05-23</x:v>
      </x:c>
    </x:row>
    <x:row r="36">
      <x:c r="A36" t="str">
        <x:v>ASTS</x:v>
      </x:c>
      <x:c r="B36" t="str">
        <x:v>AST SpaceMobile</x:v>
      </x:c>
      <x:c r="C36" t="str">
        <x:v>Telecom/Space</x:v>
      </x:c>
      <x:c r="D36" t="str">
        <x:v>Conectividad satélite directa a smartphone</x:v>
      </x:c>
      <x:c r="E36" t="str">
        <x:v>Despliegue inicial</x:v>
      </x:c>
      <x:c r="F36" t="n">
        <x:v>78</x:v>
      </x:c>
      <x:c r="G36" t="n">
        <x:v>76</x:v>
      </x:c>
      <x:c r="H36" t="n">
        <x:v>58</x:v>
      </x:c>
      <x:c r="I36" t="n">
        <x:v>90</x:v>
      </x:c>
      <x:c r="J36" t="n">
        <x:v>76</x:v>
      </x:c>
      <x:c r="K36" t="n">
        <x:v>42</x:v>
      </x:c>
      <x:c r="L36" t="n">
        <x:v>76</x:v>
      </x:c>
      <x:c r="M36" t="n">
        <x:f>ROUND(F36*Parametros!$B$2+G36*Parametros!$B$3+H36*Parametros!$B$4+I36*Parametros!$B$5+J36*Parametros!$B$6+K36*Parametros!$B$7+L36*Parametros!$B$8,0)</x:f>
        <x:v>73</x:v>
      </x:c>
      <x:c r="N36" s="38" t="str">
        <x:f>IF(M36&gt;=80,"I+D muy prometedor",IF(M36&gt;=65,"Candidata interesante",IF(M36&gt;=50,"Vigilar","Descartar")))</x:f>
        <x:v>Candidata interesante</x:v>
      </x:c>
      <x:c r="O36" t="str">
        <x:v>Despliegue satélites y socios telco</x:v>
      </x:c>
      <x:c r="P36" t="str">
        <x:v>Capex, dilución y ejecución técnica</x:v>
      </x:c>
      <x:c r="Q36" t="str">
        <x:v>https://investors.ast-science.com/</x:v>
      </x:c>
      <x:c r="R36" t="str">
        <x:v>2026-05-23</x:v>
      </x:c>
    </x:row>
    <x:row r="37">
      <x:c r="A37" t="str">
        <x:v>AVAV</x:v>
      </x:c>
      <x:c r="B37" t="str">
        <x:v>AeroVironment</x:v>
      </x:c>
      <x:c r="C37" t="str">
        <x:v>Defensa/Robótica</x:v>
      </x:c>
      <x:c r="D37" t="str">
        <x:v>Drones, municiones merodeadoras y robótica militar</x:v>
      </x:c>
      <x:c r="E37" t="str">
        <x:v>Comercial</x:v>
      </x:c>
      <x:c r="F37" t="n">
        <x:v>72</x:v>
      </x:c>
      <x:c r="G37" t="n">
        <x:v>72</x:v>
      </x:c>
      <x:c r="H37" t="n">
        <x:v>76</x:v>
      </x:c>
      <x:c r="I37" t="n">
        <x:v>82</x:v>
      </x:c>
      <x:c r="J37" t="n">
        <x:v>78</x:v>
      </x:c>
      <x:c r="K37" t="n">
        <x:v>70</x:v>
      </x:c>
      <x:c r="L37" t="n">
        <x:v>62</x:v>
      </x:c>
      <x:c r="M37" t="n">
        <x:f>ROUND(F37*Parametros!$B$2+G37*Parametros!$B$3+H37*Parametros!$B$4+I37*Parametros!$B$5+J37*Parametros!$B$6+K37*Parametros!$B$7+L37*Parametros!$B$8,0)</x:f>
        <x:v>74</x:v>
      </x:c>
      <x:c r="N37" s="38" t="str">
        <x:f>IF(M37&gt;=80,"I+D muy prometedor",IF(M37&gt;=65,"Candidata interesante",IF(M37&gt;=50,"Vigilar","Descartar")))</x:f>
        <x:v>Candidata interesante</x:v>
      </x:c>
      <x:c r="O37" t="str">
        <x:v>Contratos defensa y demanda drones</x:v>
      </x:c>
      <x:c r="P37" t="str">
        <x:v>Dependencia presupuestos defensa</x:v>
      </x:c>
      <x:c r="Q37" t="str">
        <x:v>https://investor.avinc.com/</x:v>
      </x:c>
      <x:c r="R37" t="str">
        <x:v>2026-05-23</x:v>
      </x:c>
    </x:row>
    <x:row r="38">
      <x:c r="A38" t="str">
        <x:v>KTOS</x:v>
      </x:c>
      <x:c r="B38" t="str">
        <x:v>Kratos Defense</x:v>
      </x:c>
      <x:c r="C38" t="str">
        <x:v>Defensa/Robótica</x:v>
      </x:c>
      <x:c r="D38" t="str">
        <x:v>Drones tácticos, sistemas no tripulados e hipersónicos</x:v>
      </x:c>
      <x:c r="E38" t="str">
        <x:v>Comercial</x:v>
      </x:c>
      <x:c r="F38" t="n">
        <x:v>70</x:v>
      </x:c>
      <x:c r="G38" t="n">
        <x:v>70</x:v>
      </x:c>
      <x:c r="H38" t="n">
        <x:v>66</x:v>
      </x:c>
      <x:c r="I38" t="n">
        <x:v>80</x:v>
      </x:c>
      <x:c r="J38" t="n">
        <x:v>74</x:v>
      </x:c>
      <x:c r="K38" t="n">
        <x:v>62</x:v>
      </x:c>
      <x:c r="L38" t="n">
        <x:v>58</x:v>
      </x:c>
      <x:c r="M38" t="n">
        <x:f>ROUND(F38*Parametros!$B$2+G38*Parametros!$B$3+H38*Parametros!$B$4+I38*Parametros!$B$5+J38*Parametros!$B$6+K38*Parametros!$B$7+L38*Parametros!$B$8,0)</x:f>
        <x:v>70</x:v>
      </x:c>
      <x:c r="N38" s="38" t="str">
        <x:f>IF(M38&gt;=80,"I+D muy prometedor",IF(M38&gt;=65,"Candidata interesante",IF(M38&gt;=50,"Vigilar","Descartar")))</x:f>
        <x:v>Candidata interesante</x:v>
      </x:c>
      <x:c r="O38" t="str">
        <x:v>Contratos defensa y producción drones</x:v>
      </x:c>
      <x:c r="P38" t="str">
        <x:v>Margen y ejecución de contratos</x:v>
      </x:c>
      <x:c r="Q38" t="str">
        <x:v>https://ir.kratosdefense.com/</x:v>
      </x:c>
      <x:c r="R38" t="str">
        <x:v>2026-05-23</x:v>
      </x:c>
    </x:row>
    <x:row r="39">
      <x:c r="A39" t="str">
        <x:v>ACHR</x:v>
      </x:c>
      <x:c r="B39" t="str">
        <x:v>Archer Aviation</x:v>
      </x:c>
      <x:c r="C39" t="str">
        <x:v>eVTOL</x:v>
      </x:c>
      <x:c r="D39" t="str">
        <x:v>Aeronaves eléctricas eVTOL</x:v>
      </x:c>
      <x:c r="E39" t="str">
        <x:v>Certificación/despliegue</x:v>
      </x:c>
      <x:c r="F39" t="n">
        <x:v>74</x:v>
      </x:c>
      <x:c r="G39" t="n">
        <x:v>74</x:v>
      </x:c>
      <x:c r="H39" t="n">
        <x:v>58</x:v>
      </x:c>
      <x:c r="I39" t="n">
        <x:v>84</x:v>
      </x:c>
      <x:c r="J39" t="n">
        <x:v>72</x:v>
      </x:c>
      <x:c r="K39" t="n">
        <x:v>42</x:v>
      </x:c>
      <x:c r="L39" t="n">
        <x:v>70</x:v>
      </x:c>
      <x:c r="M39" t="n">
        <x:f>ROUND(F39*Parametros!$B$2+G39*Parametros!$B$3+H39*Parametros!$B$4+I39*Parametros!$B$5+J39*Parametros!$B$6+K39*Parametros!$B$7+L39*Parametros!$B$8,0)</x:f>
        <x:v>70</x:v>
      </x:c>
      <x:c r="N39" s="38" t="str">
        <x:f>IF(M39&gt;=80,"I+D muy prometedor",IF(M39&gt;=65,"Candidata interesante",IF(M39&gt;=50,"Vigilar","Descartar")))</x:f>
        <x:v>Candidata interesante</x:v>
      </x:c>
      <x:c r="O39" t="str">
        <x:v>Certificación FAA y acuerdos comerciales</x:v>
      </x:c>
      <x:c r="P39" t="str">
        <x:v>Certificación, capex y dilución</x:v>
      </x:c>
      <x:c r="Q39" t="str">
        <x:v>https://investors.archer.com/</x:v>
      </x:c>
      <x:c r="R39" t="str">
        <x:v>2026-05-23</x:v>
      </x:c>
    </x:row>
    <x:row r="40">
      <x:c r="A40" t="str">
        <x:v>JOBY</x:v>
      </x:c>
      <x:c r="B40" t="str">
        <x:v>Joby Aviation</x:v>
      </x:c>
      <x:c r="C40" t="str">
        <x:v>eVTOL</x:v>
      </x:c>
      <x:c r="D40" t="str">
        <x:v>Taxi aéreo eléctrico eVTOL</x:v>
      </x:c>
      <x:c r="E40" t="str">
        <x:v>Certificación/despliegue</x:v>
      </x:c>
      <x:c r="F40" t="n">
        <x:v>76</x:v>
      </x:c>
      <x:c r="G40" t="n">
        <x:v>76</x:v>
      </x:c>
      <x:c r="H40" t="n">
        <x:v>66</x:v>
      </x:c>
      <x:c r="I40" t="n">
        <x:v>86</x:v>
      </x:c>
      <x:c r="J40" t="n">
        <x:v>76</x:v>
      </x:c>
      <x:c r="K40" t="n">
        <x:v>52</x:v>
      </x:c>
      <x:c r="L40" t="n">
        <x:v>68</x:v>
      </x:c>
      <x:c r="M40" t="n">
        <x:f>ROUND(F40*Parametros!$B$2+G40*Parametros!$B$3+H40*Parametros!$B$4+I40*Parametros!$B$5+J40*Parametros!$B$6+K40*Parametros!$B$7+L40*Parametros!$B$8,0)</x:f>
        <x:v>74</x:v>
      </x:c>
      <x:c r="N40" s="38" t="str">
        <x:f>IF(M40&gt;=80,"I+D muy prometedor",IF(M40&gt;=65,"Candidata interesante",IF(M40&gt;=50,"Vigilar","Descartar")))</x:f>
        <x:v>Candidata interesante</x:v>
      </x:c>
      <x:c r="O40" t="str">
        <x:v>Certificación FAA y comercialización</x:v>
      </x:c>
      <x:c r="P40" t="str">
        <x:v>Plazos regulatorios y capex</x:v>
      </x:c>
      <x:c r="Q40" t="str">
        <x:v>https://ir.jobyaviation.com/</x:v>
      </x:c>
      <x:c r="R40" t="str">
        <x:v>2026-05-23</x:v>
      </x:c>
    </x:row>
    <x:row r="41">
      <x:c r="A41" t="str">
        <x:v>SYM</x:v>
      </x:c>
      <x:c r="B41" t="str">
        <x:v>Symbotic</x:v>
      </x:c>
      <x:c r="C41" t="str">
        <x:v>Robótica/IA</x:v>
      </x:c>
      <x:c r="D41" t="str">
        <x:v>Automatización robótica de almacenes</x:v>
      </x:c>
      <x:c r="E41" t="str">
        <x:v>Comercial</x:v>
      </x:c>
      <x:c r="F41" t="n">
        <x:v>72</x:v>
      </x:c>
      <x:c r="G41" t="n">
        <x:v>68</x:v>
      </x:c>
      <x:c r="H41" t="n">
        <x:v>70</x:v>
      </x:c>
      <x:c r="I41" t="n">
        <x:v>82</x:v>
      </x:c>
      <x:c r="J41" t="n">
        <x:v>78</x:v>
      </x:c>
      <x:c r="K41" t="n">
        <x:v>66</x:v>
      </x:c>
      <x:c r="L41" t="n">
        <x:v>58</x:v>
      </x:c>
      <x:c r="M41" t="n">
        <x:f>ROUND(F41*Parametros!$B$2+G41*Parametros!$B$3+H41*Parametros!$B$4+I41*Parametros!$B$5+J41*Parametros!$B$6+K41*Parametros!$B$7+L41*Parametros!$B$8,0)</x:f>
        <x:v>72</x:v>
      </x:c>
      <x:c r="N41" s="38" t="str">
        <x:f>IF(M41&gt;=80,"I+D muy prometedor",IF(M41&gt;=65,"Candidata interesante",IF(M41&gt;=50,"Vigilar","Descartar")))</x:f>
        <x:v>Candidata interesante</x:v>
      </x:c>
      <x:c r="O41" t="str">
        <x:v>Nuevos contratos retail/logística</x:v>
      </x:c>
      <x:c r="P41" t="str">
        <x:v>Concentración de clientes</x:v>
      </x:c>
      <x:c r="Q41" t="str">
        <x:v>https://ir.symbotic.com/</x:v>
      </x:c>
      <x:c r="R41" t="str">
        <x:v>2026-05-23</x:v>
      </x:c>
    </x:row>
    <x:row r="42">
      <x:c r="A42" t="str">
        <x:v>PATH</x:v>
      </x:c>
      <x:c r="B42" t="str">
        <x:v>UiPath</x:v>
      </x:c>
      <x:c r="C42" t="str">
        <x:v>Automatización/IA</x:v>
      </x:c>
      <x:c r="D42" t="str">
        <x:v>Automatización empresarial e IA agentic</x:v>
      </x:c>
      <x:c r="E42" t="str">
        <x:v>Comercial</x:v>
      </x:c>
      <x:c r="F42" t="n">
        <x:v>68</x:v>
      </x:c>
      <x:c r="G42" t="n">
        <x:v>60</x:v>
      </x:c>
      <x:c r="H42" t="n">
        <x:v>82</x:v>
      </x:c>
      <x:c r="I42" t="n">
        <x:v>76</x:v>
      </x:c>
      <x:c r="J42" t="n">
        <x:v>70</x:v>
      </x:c>
      <x:c r="K42" t="n">
        <x:v>78</x:v>
      </x:c>
      <x:c r="L42" t="n">
        <x:v>42</x:v>
      </x:c>
      <x:c r="M42" t="n">
        <x:f>ROUND(F42*Parametros!$B$2+G42*Parametros!$B$3+H42*Parametros!$B$4+I42*Parametros!$B$5+J42*Parametros!$B$6+K42*Parametros!$B$7+L42*Parametros!$B$8,0)</x:f>
        <x:v>70</x:v>
      </x:c>
      <x:c r="N42" s="38" t="str">
        <x:f>IF(M42&gt;=80,"I+D muy prometedor",IF(M42&gt;=65,"Candidata interesante",IF(M42&gt;=50,"Vigilar","Descartar")))</x:f>
        <x:v>Candidata interesante</x:v>
      </x:c>
      <x:c r="O42" t="str">
        <x:v>Adopción IA empresarial</x:v>
      </x:c>
      <x:c r="P42" t="str">
        <x:v>Crecimiento competitivo</x:v>
      </x:c>
      <x:c r="Q42" t="str">
        <x:v>https://ir.uipath.com/</x:v>
      </x:c>
      <x:c r="R42" t="str">
        <x:v>2026-05-23</x:v>
      </x:c>
    </x:row>
    <x:row r="43">
      <x:c r="A43" t="str">
        <x:v>PLTR</x:v>
      </x:c>
      <x:c r="B43" t="str">
        <x:v>Palantir</x:v>
      </x:c>
      <x:c r="C43" t="str">
        <x:v>IA/Defensa</x:v>
      </x:c>
      <x:c r="D43" t="str">
        <x:v>Plataformas AIP, defensa, gobierno y empresas</x:v>
      </x:c>
      <x:c r="E43" t="str">
        <x:v>Comercial</x:v>
      </x:c>
      <x:c r="F43" t="n">
        <x:v>78</x:v>
      </x:c>
      <x:c r="G43" t="n">
        <x:v>74</x:v>
      </x:c>
      <x:c r="H43" t="n">
        <x:v>90</x:v>
      </x:c>
      <x:c r="I43" t="n">
        <x:v>86</x:v>
      </x:c>
      <x:c r="J43" t="n">
        <x:v>88</x:v>
      </x:c>
      <x:c r="K43" t="n">
        <x:v>84</x:v>
      </x:c>
      <x:c r="L43" t="n">
        <x:v>72</x:v>
      </x:c>
      <x:c r="M43" t="n">
        <x:f>ROUND(F43*Parametros!$B$2+G43*Parametros!$B$3+H43*Parametros!$B$4+I43*Parametros!$B$5+J43*Parametros!$B$6+K43*Parametros!$B$7+L43*Parametros!$B$8,0)</x:f>
        <x:v>82</x:v>
      </x:c>
      <x:c r="N43" s="38" t="str">
        <x:f>IF(M43&gt;=80,"I+D muy prometedor",IF(M43&gt;=65,"Candidata interesante",IF(M43&gt;=50,"Vigilar","Descartar")))</x:f>
        <x:v>I+D muy prometedor</x:v>
      </x:c>
      <x:c r="O43" t="str">
        <x:v>Contratos IA y expansión comercial</x:v>
      </x:c>
      <x:c r="P43" t="str">
        <x:v>Valoración exigente</x:v>
      </x:c>
      <x:c r="Q43" t="str">
        <x:v>https://investors.palantir.com/</x:v>
      </x:c>
      <x:c r="R43" t="str">
        <x:v>2026-05-23</x:v>
      </x:c>
    </x:row>
  </x:sheetData>
  <x:conditionalFormatting sqref="F2:M4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86441b0b01b49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70" hidden="0" customWidth="1"/>
  </x:cols>
  <x:sheetData>
    <x:row r="1">
      <x:c r="A1" s="4" t="str">
        <x:v>Métrica</x:v>
      </x:c>
      <x:c r="B1" s="4" t="str">
        <x:v>Peso</x:v>
      </x:c>
      <x:c r="C1" s="4" t="str">
        <x:v>Descripción</x:v>
      </x:c>
    </x:row>
    <x:row r="2">
      <x:c r="A2" t="str">
        <x:v>Tecnología</x:v>
      </x:c>
      <x:c r="B2" s="8" t="n">
        <x:v>0.25</x:v>
      </x:c>
      <x:c r="C2" t="str">
        <x:v>Diferenciación técnica, patentes, dificultad de copia.</x:v>
      </x:c>
    </x:row>
    <x:row r="3">
      <x:c r="A3" t="str">
        <x:v>Catalizadores</x:v>
      </x:c>
      <x:c r="B3" s="8" t="n">
        <x:v>0.2</x:v>
      </x:c>
      <x:c r="C3" t="str">
        <x:v>Eventos próximos 3-12 meses: FDA/EMA, resultados, contratos, acuerdos.</x:v>
      </x:c>
    </x:row>
    <x:row r="4">
      <x:c r="A4" t="str">
        <x:v>Caja</x:v>
      </x:c>
      <x:c r="B4" s="8" t="n">
        <x:v>0.2</x:v>
      </x:c>
      <x:c r="C4" t="str">
        <x:v>Runway/caja disponible y disciplina financiera.</x:v>
      </x:c>
    </x:row>
    <x:row r="5">
      <x:c r="A5" t="str">
        <x:v>Mercado</x:v>
      </x:c>
      <x:c r="B5" s="8" t="n">
        <x:v>0.15</x:v>
      </x:c>
      <x:c r="C5" t="str">
        <x:v>Tamaño del mercado potencial y necesidad no cubierta.</x:v>
      </x:c>
    </x:row>
    <x:row r="6">
      <x:c r="A6" t="str">
        <x:v>Validación</x:v>
      </x:c>
      <x:c r="B6" s="8" t="n">
        <x:v>0.1</x:v>
      </x:c>
      <x:c r="C6" t="str">
        <x:v>Socios, contratos, publicaciones, grants, clientes piloto.</x:v>
      </x:c>
    </x:row>
    <x:row r="7">
      <x:c r="A7" t="str">
        <x:v>Control Dilución</x:v>
      </x:c>
      <x:c r="B7" s="8" t="n">
        <x:v>0.05</x:v>
      </x:c>
      <x:c r="C7" t="str">
        <x:v>Menor probabilidad de ampliaciones agresivas o reverse splits.</x:v>
      </x:c>
    </x:row>
    <x:row r="8">
      <x:c r="A8" t="str">
        <x:v>Momentum</x:v>
      </x:c>
      <x:c r="B8" s="8" t="n">
        <x:v>0.05</x:v>
      </x:c>
      <x:c r="C8" t="str">
        <x:v>Interés del mercado, volumen, tendencia relativa.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40" t="str">
        <x:v>Cómo usar el buscador automático</x:v>
      </x:c>
    </x:row>
    <x:row r="2">
      <x:c r="A2" s="38" t="str">
        <x:v>1. En la hoja Screener_I+D añade o modifica empresas.</x:v>
      </x:c>
    </x:row>
    <x:row r="3">
      <x:c r="A3" s="38" t="str">
        <x:v>2. Puntúa de 0 a 100 las columnas Tecnología, Catalizadores, Caja, Mercado, Validación, Control Dilución y Momentum.</x:v>
      </x:c>
    </x:row>
    <x:row r="4">
      <x:c r="A4" s="38" t="str">
        <x:v>3. El Score y la Clasificación se calculan automáticamente con los pesos de la hoja Parametros.</x:v>
      </x:c>
    </x:row>
    <x:row r="5">
      <x:c r="A5" s="38" t="str">
        <x:v>4. El Dashboard resume sectores, pesos, clasificación y ranking inicial.</x:v>
      </x:c>
    </x:row>
    <x:row r="6">
      <x:c r="A6" s="38" t="str">
        <x:v>5. Para una versión conectada en tiempo real se puede añadir API/consulta a fuentes financieras, SEC/EDGAR, FDA, ClinicalTrials.gov y noticias.</x:v>
      </x:c>
    </x:row>
    <x:row r="7">
      <x:c r="A7" s="38" t="str">
        <x:v>Nota: este modelo es una herramienta de análisis; no constituye recomendación financiera.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00" hidden="0" customWidth="1"/>
  </x:cols>
  <x:sheetData>
    <x:row r="1">
      <x:c r="A1" s="42" t="str">
        <x:v>Fuente/uso</x:v>
      </x:c>
      <x:c r="B1" s="42" t="str">
        <x:v>URL</x:v>
      </x:c>
    </x:row>
    <x:row r="2">
      <x:c r="A2" t="str">
        <x:v>IonQ resultados 2025 y caja</x:v>
      </x:c>
      <x:c r="B2" t="str">
        <x:v>https://investors.ionq.com/news/news-details/2026/IonQ-Announces-Fourth-Quarter-and-Full-Year-2025-Financial-Results/</x:v>
      </x:c>
    </x:row>
    <x:row r="3">
      <x:c r="A3" t="str">
        <x:v>D-Wave Q1 2026 resultados y caja</x:v>
      </x:c>
      <x:c r="B3" t="str">
        <x:v>https://ir.dwavequantum.com/news/news-details/2026/D-Wave-Reports-First-Quarter-2026-Results/default.aspx</x:v>
      </x:c>
    </x:row>
    <x:row r="4">
      <x:c r="A4" t="str">
        <x:v>Recursion investor relations</x:v>
      </x:c>
      <x:c r="B4" t="str">
        <x:v>https://ir.recursion.com/</x:v>
      </x:c>
    </x:row>
    <x:row r="5">
      <x:c r="A5" t="str">
        <x:v>QuantumScape investor relations</x:v>
      </x:c>
      <x:c r="B5" t="str">
        <x:v>https://ir.quantumscape.com/</x:v>
      </x:c>
    </x:row>
    <x:row r="6">
      <x:c r="A6" t="str">
        <x:v>Solid Power Q1 2026 resultados</x:v>
      </x:c>
      <x:c r="B6" t="str">
        <x:v>https://www.solidpowerbattery.com/investor-relations/investor-news/news-details/2026/Solid-Power-Reports-First-Quarter-2026-Results/default.aspx</x:v>
      </x:c>
    </x:row>
    <x:row r="7">
      <x:c r="A7" t="str">
        <x:v>Reuters: Quantinuum IPO / financiación / quantum</x:v>
      </x:c>
      <x:c r="B7" t="str">
        <x:v>https://www.reuters.com/commentary/breakingviews/honeywell-quantum-ipo-tests-financial-paradox-2026-05-22/</x:v>
      </x:c>
    </x:row>
  </x:sheetData>
  <x:pageMargins left="0.7" right="0.7" top="0.75" bottom="0.75" header="0.3" footer="0.3"/>
</x:worksheet>
</file>